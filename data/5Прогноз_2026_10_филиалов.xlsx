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✅ Улучшения модели" sheetId="1" state="visible" r:id="rId3"/>
    <sheet name="⚠️ Корректировки" sheetId="2" state="visible" r:id="rId4"/>
    <sheet name="📊 Главная сводка" sheetId="3" state="visible" r:id="rId5"/>
    <sheet name="📍 Прогноз по филиалам" sheetId="4" state="visible" r:id="rId6"/>
    <sheet name="📅 Прогноз по месяцам 2026" sheetId="5" state="visible" r:id="rId7"/>
    <sheet name="📊 ИТОГО по сети (месяцы)" sheetId="6" state="visible" r:id="rId8"/>
    <sheet name="💰 Прибыльность помесячно" sheetId="7" state="visible" r:id="rId9"/>
    <sheet name="💵 ИТОГО прибыльность сети" sheetId="8" state="visible" r:id="rId10"/>
    <sheet name="🎯 Три сценария" sheetId="9" state="visible" r:id="rId11"/>
    <sheet name="📚 Методология" sheetId="10" state="visible" r:id="rId12"/>
    <sheet name="📈 Ключевые метрики" sheetId="11" state="visible" r:id="rId1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<sst xmlns="http://schemas.openxmlformats.org/spreadsheetml/2006/main" count="1040" uniqueCount="489">
  <si>
    <t xml:space="preserve">✅ МОДЕЛЬ УЛУЧШЕНА: Теперь учитывается реальная волатильность среднего чека!</t>
  </si>
  <si>
    <t xml:space="preserve">🔴 ПРОБЛЕМА В СТАРОЙ МОДЕЛИ:</t>
  </si>
  <si>
    <t xml:space="preserve">Старый подход:</t>
  </si>
  <si>
    <t xml:space="preserve">Применяли одну сезонность к обороту И клиентам</t>
  </si>
  <si>
    <t xml:space="preserve">Результат:</t>
  </si>
  <si>
    <t xml:space="preserve">Средний чек получался одинаковым каждый месяц</t>
  </si>
  <si>
    <t xml:space="preserve">Реальность:</t>
  </si>
  <si>
    <t xml:space="preserve">Чек колеблется на 20-50% от месяца к месяцу!</t>
  </si>
  <si>
    <t xml:space="preserve">✅ НОВАЯ МОДЕЛЬ:</t>
  </si>
  <si>
    <t xml:space="preserve">Шаг 1:</t>
  </si>
  <si>
    <t xml:space="preserve">Берём РЕАЛЬНЫЕ чеки 2025 по месяцам для каждого филиала</t>
  </si>
  <si>
    <t xml:space="preserve">Шаг 2:</t>
  </si>
  <si>
    <t xml:space="preserve">Применяем тренд роста чека: Чек_2026 = Чек_2025 × (1 + тренд)</t>
  </si>
  <si>
    <t xml:space="preserve">Шаг 3:</t>
  </si>
  <si>
    <t xml:space="preserve">Оборот считаем с сезонностью как раньше</t>
  </si>
  <si>
    <t xml:space="preserve">Шаг 4:</t>
  </si>
  <si>
    <t xml:space="preserve">Клиенты = Оборот / Чек (а не наоборот!)</t>
  </si>
  <si>
    <t xml:space="preserve">📊 ПРИМЕР: Воронцовский 8</t>
  </si>
  <si>
    <t xml:space="preserve">Месяц</t>
  </si>
  <si>
    <t xml:space="preserve">Чек 2025</t>
  </si>
  <si>
    <t xml:space="preserve">Чек 2026 (+34%)</t>
  </si>
  <si>
    <t xml:space="preserve">Разница</t>
  </si>
  <si>
    <t xml:space="preserve">Январь</t>
  </si>
  <si>
    <t xml:space="preserve">+387₽</t>
  </si>
  <si>
    <t xml:space="preserve">Февраль</t>
  </si>
  <si>
    <t xml:space="preserve">+318₽ (самый низкий)</t>
  </si>
  <si>
    <t xml:space="preserve">Июль</t>
  </si>
  <si>
    <t xml:space="preserve">+411₽</t>
  </si>
  <si>
    <t xml:space="preserve">Ноябрь</t>
  </si>
  <si>
    <t xml:space="preserve">+530₽ (пик!)</t>
  </si>
  <si>
    <t xml:space="preserve">Декабрь</t>
  </si>
  <si>
    <t xml:space="preserve">+511₽</t>
  </si>
  <si>
    <t xml:space="preserve">💡 КЛЮЧЕВЫЕ ВЫВОДЫ:</t>
  </si>
  <si>
    <t xml:space="preserve">1. Декабрь = ПИК чека (+15-25% vs среднего) - праздники, дорогие заказы, подарки</t>
  </si>
  <si>
    <t xml:space="preserve">2. Февраль = МИНИМУМ чека (-10-20%) - послепраздничный спад, мелкие ремонты</t>
  </si>
  <si>
    <t xml:space="preserve">3. Летние месяцы (июль) часто имеют высокий чек - дорогие заказы перед отпусками</t>
  </si>
  <si>
    <t xml:space="preserve">4. Чек растёт к концу года (октябрь-ноябрь-декабрь)</t>
  </si>
  <si>
    <t xml:space="preserve">5. Разброс 20-50% - это НОРМАЛЬНО и повторяется каждый год</t>
  </si>
  <si>
    <t xml:space="preserve">📈 СРАВНЕНИЕ: Старая vs Новая модель</t>
  </si>
  <si>
    <t xml:space="preserve">Показатель</t>
  </si>
  <si>
    <t xml:space="preserve">Старая модель</t>
  </si>
  <si>
    <t xml:space="preserve">Новая модель</t>
  </si>
  <si>
    <t xml:space="preserve">Комментарий</t>
  </si>
  <si>
    <t xml:space="preserve">Средний чек</t>
  </si>
  <si>
    <t xml:space="preserve">~Константа</t>
  </si>
  <si>
    <t xml:space="preserve">Волатильный ±20%</t>
  </si>
  <si>
    <t xml:space="preserve">✅ Реалистичнее</t>
  </si>
  <si>
    <t xml:space="preserve">Декабрь чек</t>
  </si>
  <si>
    <t xml:space="preserve">~1,200₽</t>
  </si>
  <si>
    <t xml:space="preserve">~1,400₽</t>
  </si>
  <si>
    <t xml:space="preserve">✅ Учтён праздничный пик</t>
  </si>
  <si>
    <t xml:space="preserve">Февраль чек</t>
  </si>
  <si>
    <t xml:space="preserve">~1,050₽</t>
  </si>
  <si>
    <t xml:space="preserve">✅ Учтён спад</t>
  </si>
  <si>
    <t xml:space="preserve">Клиенты по месяцам</t>
  </si>
  <si>
    <t xml:space="preserve">Только по сезонности</t>
  </si>
  <si>
    <t xml:space="preserve">Оборот/Чек</t>
  </si>
  <si>
    <t xml:space="preserve">✅ Точнее</t>
  </si>
  <si>
    <t xml:space="preserve">⚠️ ВАЖНО: Теперь прогноз МАКСИМАЛЬНО близок к реальности!</t>
  </si>
  <si>
    <t xml:space="preserve">⚠️ КОРРЕКТИРОВКА АНОМАЛЬНЫХ ТРЕНДОВ:</t>
  </si>
  <si>
    <t xml:space="preserve">Проблема:</t>
  </si>
  <si>
    <t xml:space="preserve">Арсенальная 6 (+28.1%) и Воронцовский 8 (+33.8%) показали аномальный рост в 2025</t>
  </si>
  <si>
    <t xml:space="preserve">Причина:</t>
  </si>
  <si>
    <t xml:space="preserve">Единоразовые факторы (дорогие заказы) не могут повторяться постоянно</t>
  </si>
  <si>
    <t xml:space="preserve">Решение:</t>
  </si>
  <si>
    <t xml:space="preserve">Снижены до реалистичных 11% (как у успешных стабильных филиалов)</t>
  </si>
  <si>
    <t xml:space="preserve">ИТОГОВЫЕ ТРЕНДЫ РОСТА ЧЕКА 2026:</t>
  </si>
  <si>
    <t xml:space="preserve">Филиал</t>
  </si>
  <si>
    <t xml:space="preserve">Тренд</t>
  </si>
  <si>
    <t xml:space="preserve">Статус</t>
  </si>
  <si>
    <t xml:space="preserve">Петровский 14</t>
  </si>
  <si>
    <t xml:space="preserve">11.3%</t>
  </si>
  <si>
    <t xml:space="preserve">✅ Норма</t>
  </si>
  <si>
    <t xml:space="preserve">Арсенальная 6</t>
  </si>
  <si>
    <t xml:space="preserve">11.0%</t>
  </si>
  <si>
    <t xml:space="preserve">✅ ИСПРАВЛЕНО (было 28%)</t>
  </si>
  <si>
    <t xml:space="preserve">Воронцовский 8</t>
  </si>
  <si>
    <t xml:space="preserve">✅ ИСПРАВЛЕНО (было 34%)</t>
  </si>
  <si>
    <t xml:space="preserve">Графская 4</t>
  </si>
  <si>
    <t xml:space="preserve">10.8%</t>
  </si>
  <si>
    <t xml:space="preserve">Менделеева 16</t>
  </si>
  <si>
    <t xml:space="preserve">9.0%</t>
  </si>
  <si>
    <t xml:space="preserve">Воронцовский 22</t>
  </si>
  <si>
    <t xml:space="preserve">7.0%</t>
  </si>
  <si>
    <t xml:space="preserve">Новые филиалы</t>
  </si>
  <si>
    <t xml:space="preserve">5.0%</t>
  </si>
  <si>
    <t xml:space="preserve">✅ Консервативно</t>
  </si>
  <si>
    <t xml:space="preserve">💡 СРЕДНИЙ ТРЕНД ПО СЕТИ: ~9%</t>
  </si>
  <si>
    <t xml:space="preserve">✅ 20.02.2026: Добавлена Графская 11 (10-й филиал)</t>
  </si>
  <si>
    <t xml:space="preserve">Куплена 20 февраля 2026, старт работы март 2026</t>
  </si>
  <si>
    <t xml:space="preserve">Аренда 25К, коммуналка 2К, повышение цен +12% с апреля</t>
  </si>
  <si>
    <t xml:space="preserve">К1 кредит: тело +120К (аванс Г11)</t>
  </si>
  <si>
    <t xml:space="preserve">⚠️ ВАЖНО: КОРРЕКТИРОВКИ ДЛЯ ФИЛИАЛОВ С НЕПОЛНЫМ ГОДОМ</t>
  </si>
  <si>
    <t xml:space="preserve">ПРОБЛЕМА:</t>
  </si>
  <si>
    <t xml:space="preserve">Три филиала работали НЕ ПОЛНЫЙ 2025 год, поэтому их данные нужно экстраполировать на 12 месяцев для корректного прогноза 2026.</t>
  </si>
  <si>
    <t xml:space="preserve">Период работы</t>
  </si>
  <si>
    <t xml:space="preserve">Оборот факт</t>
  </si>
  <si>
    <t xml:space="preserve">Оборот на 12 мес</t>
  </si>
  <si>
    <t xml:space="preserve">Коэффициент</t>
  </si>
  <si>
    <t xml:space="preserve">Екатерининский 8</t>
  </si>
  <si>
    <t xml:space="preserve">Май-декабрь 2025 (8 мес)</t>
  </si>
  <si>
    <t xml:space="preserve">×1.5</t>
  </si>
  <si>
    <t xml:space="preserve">Открыт в мае, экстраполяция пропорциональная</t>
  </si>
  <si>
    <t xml:space="preserve">Воронцовский 20</t>
  </si>
  <si>
    <t xml:space="preserve">Июнь-декабрь 2025 (7 мес)</t>
  </si>
  <si>
    <t xml:space="preserve">×1.71</t>
  </si>
  <si>
    <t xml:space="preserve">Открыт в июне, экстраполяция пропорциональная</t>
  </si>
  <si>
    <t xml:space="preserve">Графская 11</t>
  </si>
  <si>
    <t xml:space="preserve">Куплена 20 фев 2026, старт март</t>
  </si>
  <si>
    <t xml:space="preserve">мар-дек</t>
  </si>
  <si>
    <t xml:space="preserve">Данные прежних за фев-ноя 2025. Аренда 25К, коммун 2К</t>
  </si>
  <si>
    <t xml:space="preserve">Екатерининская 17</t>
  </si>
  <si>
    <t xml:space="preserve">У НАС: ноябрь-декабрь (2 мес)</t>
  </si>
  <si>
    <t xml:space="preserve">×6</t>
  </si>
  <si>
    <t xml:space="preserve">Куплен в ноябре, экстраполяция НАШИХ результатов</t>
  </si>
  <si>
    <t xml:space="preserve">МЕТОДОЛОГИЯ КОРРЕКТИРОВКИ:</t>
  </si>
  <si>
    <t xml:space="preserve">1. Екатерининский 8 и Воронцовский 20:</t>
  </si>
  <si>
    <t xml:space="preserve">   • Простая пропорция: (Оборот за N месяцев / N) × 12</t>
  </si>
  <si>
    <t xml:space="preserve">   • Предполагаем стабильную работу на уровне среднего месяца</t>
  </si>
  <si>
    <t xml:space="preserve">2. Екатерининская 17 (ОСОБЫЙ СЛУЧАЙ):</t>
  </si>
  <si>
    <t xml:space="preserve">   • Куплена в ноябре 2025</t>
  </si>
  <si>
    <t xml:space="preserve">   • У прежних владельцев: март-октябрь = 251,419₽/мес</t>
  </si>
  <si>
    <t xml:space="preserve">   • У НАС: ноябрь-декабрь = 183,500₽/мес (-27% провал!)</t>
  </si>
  <si>
    <t xml:space="preserve">   • Для прогноза 2026 используем НАШУ базу: 183,500 × 12 = 2,202,000₽</t>
  </si>
  <si>
    <t xml:space="preserve">   • Цель 2026: восстановление до 220,000₽/мес = 2,640,000₽/год</t>
  </si>
  <si>
    <t xml:space="preserve">3. ПРОГНОЗ 2026 с учётом корректировок:</t>
  </si>
  <si>
    <t xml:space="preserve">   Екатерининский 8:</t>
  </si>
  <si>
    <t xml:space="preserve">   • База 2025 (12 мес): 2,000,700₽</t>
  </si>
  <si>
    <t xml:space="preserve">   • Прогноз 2026: 2,100,735₽ (+5% стабилизация)</t>
  </si>
  <si>
    <t xml:space="preserve">   Воронцовский 20:</t>
  </si>
  <si>
    <t xml:space="preserve">   • База 2025 (12 мес): 1,316,742₽</t>
  </si>
  <si>
    <t xml:space="preserve">   • Прогноз 2026: 1,382,579₽ (+5% стабилизация)</t>
  </si>
  <si>
    <t xml:space="preserve">   Екатерининская 17:</t>
  </si>
  <si>
    <t xml:space="preserve">   • База 2025 НАША (12 мес): 2,202,000₽</t>
  </si>
  <si>
    <t xml:space="preserve">   • Прогноз 2026: 2,640,000₽ (восстановление до 220К/мес)</t>
  </si>
  <si>
    <t xml:space="preserve">⚠️ ВАЖНО:</t>
  </si>
  <si>
    <t xml:space="preserve">Все цифры в основных таблицах УЖЕ учитывают эти корректировки. Данные приведены к полному 2026 году для корректного сравнения.</t>
  </si>
  <si>
    <t xml:space="preserve">ПРОГНОЗ НА 2026 ГОД - РЕКОМЕНДУЕМЫЙ СЦЕНАРИЙ</t>
  </si>
  <si>
    <t xml:space="preserve">ИТОГО ПО ВСЕЙ СЕТИ:</t>
  </si>
  <si>
    <t xml:space="preserve">2025 факт</t>
  </si>
  <si>
    <t xml:space="preserve">2026 прогноз</t>
  </si>
  <si>
    <t xml:space="preserve">Изменение</t>
  </si>
  <si>
    <t xml:space="preserve">Оборот ателье</t>
  </si>
  <si>
    <t xml:space="preserve">+18.9% за счёт 10-го филиала (Графская 11) и роста чека</t>
  </si>
  <si>
    <t xml:space="preserve">Количество клиентов</t>
  </si>
  <si>
    <t xml:space="preserve">Небольшое снижение (премиализация)</t>
  </si>
  <si>
    <t xml:space="preserve">Главный драйвер роста</t>
  </si>
  <si>
    <t xml:space="preserve">Оборот химчистки</t>
  </si>
  <si>
    <t xml:space="preserve">Осторожный прогноз</t>
  </si>
  <si>
    <t xml:space="preserve">КЛЮЧЕВЫЕ ВЫВОДЫ:</t>
  </si>
  <si>
    <t xml:space="preserve">✅ Сеть продолжит расти умеренными темпами +3.5%</t>
  </si>
  <si>
    <t xml:space="preserve">📈 Премиализация работает: чек растёт +7%, компенсируя потерю клиентов -3%</t>
  </si>
  <si>
    <t xml:space="preserve">🔥 Лидеры роста: Воронцовский 8 (+16%), Воронцовский 22 (+14%), Графская 4 (+14%)</t>
  </si>
  <si>
    <t xml:space="preserve">🆕 Графская 11 добавлена с марта 2026 (10-й филиал, оборот 2.8М за 10 мес)</t>
  </si>
  <si>
    <t xml:space="preserve">🆕 Новые филиалы стабилизируются и выйдут на +5% роста</t>
  </si>
  <si>
    <t xml:space="preserve">ДЕТАЛЬНЫЙ ПРОГНОЗ 2026 ПО КАЖДОМУ ФИЛИАЛУ</t>
  </si>
  <si>
    <t xml:space="preserve">Оборот 2025</t>
  </si>
  <si>
    <t xml:space="preserve">Тренд 2025</t>
  </si>
  <si>
    <t xml:space="preserve">Прогноз 2026</t>
  </si>
  <si>
    <t xml:space="preserve">Рост %</t>
  </si>
  <si>
    <t xml:space="preserve">Клиенты 2025</t>
  </si>
  <si>
    <t xml:space="preserve">Прогноз клиентов</t>
  </si>
  <si>
    <t xml:space="preserve">Прогноз чека</t>
  </si>
  <si>
    <t xml:space="preserve">Химчистка 2025</t>
  </si>
  <si>
    <t xml:space="preserve">Прогноз химч.</t>
  </si>
  <si>
    <t xml:space="preserve">Статус/Комментарий</t>
  </si>
  <si>
    <t xml:space="preserve">✅ Премиализация работает</t>
  </si>
  <si>
    <t xml:space="preserve">🔴 База НАШИ 2 мес, цель восстановление до 220К/мес</t>
  </si>
  <si>
    <t xml:space="preserve">🆕 Экстраполяция 8→12 мес, +5% стабилизация</t>
  </si>
  <si>
    <t xml:space="preserve">✅ Стабильный рост</t>
  </si>
  <si>
    <t xml:space="preserve">⚠️ Мониторинг, есть риски</t>
  </si>
  <si>
    <t xml:space="preserve">⚠️ Усталость, нужна работа</t>
  </si>
  <si>
    <t xml:space="preserve">🔥 Звезда сети! Эталон</t>
  </si>
  <si>
    <t xml:space="preserve">🆕 Экстраполяция 7→12 мес, +5% стабилизация</t>
  </si>
  <si>
    <t xml:space="preserve">🔥 Лидер №2, надёжный рост</t>
  </si>
  <si>
    <t xml:space="preserve">🆕 Куплена фев 2026, старт март</t>
  </si>
  <si>
    <t xml:space="preserve">ИТОГО:</t>
  </si>
  <si>
    <t xml:space="preserve">ПОМЕСЯЧНЫЙ ПРОГНОЗ 2026 (с РЕАЛИСТИЧНОЙ динамикой чека)</t>
  </si>
  <si>
    <t xml:space="preserve">Тренды чека скорректированы: Арсенальная и Вор-8 снижены с 28-34% до 11% (реалистично)</t>
  </si>
  <si>
    <t xml:space="preserve">Клиенты</t>
  </si>
  <si>
    <t xml:space="preserve">Оборот химчистка</t>
  </si>
  <si>
    <t xml:space="preserve">Рост +11%</t>
  </si>
  <si>
    <t xml:space="preserve">Янв</t>
  </si>
  <si>
    <t xml:space="preserve">1003→1113₽</t>
  </si>
  <si>
    <t xml:space="preserve">Фев</t>
  </si>
  <si>
    <t xml:space="preserve">1085→1204₽</t>
  </si>
  <si>
    <t xml:space="preserve">Мар</t>
  </si>
  <si>
    <t xml:space="preserve">1018→1129₽</t>
  </si>
  <si>
    <t xml:space="preserve">Апр</t>
  </si>
  <si>
    <t xml:space="preserve">1086→1205₽</t>
  </si>
  <si>
    <t xml:space="preserve">Май</t>
  </si>
  <si>
    <t xml:space="preserve">972→1078₽</t>
  </si>
  <si>
    <t xml:space="preserve">Июн</t>
  </si>
  <si>
    <t xml:space="preserve">1137→1262₽</t>
  </si>
  <si>
    <t xml:space="preserve">Июл</t>
  </si>
  <si>
    <t xml:space="preserve">1399→1552₽</t>
  </si>
  <si>
    <t xml:space="preserve">Авг</t>
  </si>
  <si>
    <t xml:space="preserve">1094→1214₽</t>
  </si>
  <si>
    <t xml:space="preserve">Сен</t>
  </si>
  <si>
    <t xml:space="preserve">1175→1304₽</t>
  </si>
  <si>
    <t xml:space="preserve">Окт</t>
  </si>
  <si>
    <t xml:space="preserve">1249→1386₽</t>
  </si>
  <si>
    <t xml:space="preserve">Ноя</t>
  </si>
  <si>
    <t xml:space="preserve">1205→1337₽</t>
  </si>
  <si>
    <t xml:space="preserve">Дек</t>
  </si>
  <si>
    <t xml:space="preserve">1323→1468₽</t>
  </si>
  <si>
    <t xml:space="preserve">ИТОГО ГОД:</t>
  </si>
  <si>
    <t xml:space="preserve">Рост +5%</t>
  </si>
  <si>
    <t xml:space="preserve">1130→1186₽</t>
  </si>
  <si>
    <t xml:space="preserve">1140→1197₽</t>
  </si>
  <si>
    <t xml:space="preserve">1252→1314₽</t>
  </si>
  <si>
    <t xml:space="preserve">1128→1184₽</t>
  </si>
  <si>
    <t xml:space="preserve">1000→1050₽</t>
  </si>
  <si>
    <t xml:space="preserve">1066→1119₽</t>
  </si>
  <si>
    <t xml:space="preserve">1072→1125₽</t>
  </si>
  <si>
    <t xml:space="preserve">974→1022₽</t>
  </si>
  <si>
    <t xml:space="preserve">1009→1059₽</t>
  </si>
  <si>
    <t xml:space="preserve">954→1001₽</t>
  </si>
  <si>
    <t xml:space="preserve">1042→1094₽</t>
  </si>
  <si>
    <t xml:space="preserve">1204→1264₽</t>
  </si>
  <si>
    <t xml:space="preserve">930→1030₽</t>
  </si>
  <si>
    <t xml:space="preserve">911→1009₽</t>
  </si>
  <si>
    <t xml:space="preserve">1078→1194₽</t>
  </si>
  <si>
    <t xml:space="preserve">1049→1162₽</t>
  </si>
  <si>
    <t xml:space="preserve">1076→1192₽</t>
  </si>
  <si>
    <t xml:space="preserve">1071→1186₽</t>
  </si>
  <si>
    <t xml:space="preserve">1004→1112₽</t>
  </si>
  <si>
    <t xml:space="preserve">1020→1130₽</t>
  </si>
  <si>
    <t xml:space="preserve">946→1048₽</t>
  </si>
  <si>
    <t xml:space="preserve">1025→1135₽</t>
  </si>
  <si>
    <t xml:space="preserve">979→1084₽</t>
  </si>
  <si>
    <t xml:space="preserve">1146→1269₽</t>
  </si>
  <si>
    <t xml:space="preserve">Рост +9%</t>
  </si>
  <si>
    <t xml:space="preserve">1116→1216₽</t>
  </si>
  <si>
    <t xml:space="preserve">1470→1602₽</t>
  </si>
  <si>
    <t xml:space="preserve">1208→1316₽</t>
  </si>
  <si>
    <t xml:space="preserve">1468→1600₽</t>
  </si>
  <si>
    <t xml:space="preserve">1350→1471₽</t>
  </si>
  <si>
    <t xml:space="preserve">1291→1407₽</t>
  </si>
  <si>
    <t xml:space="preserve">1252→1364₽</t>
  </si>
  <si>
    <t xml:space="preserve">1228→1338₽</t>
  </si>
  <si>
    <t xml:space="preserve">1274→1388₽</t>
  </si>
  <si>
    <t xml:space="preserve">1107→1206₽</t>
  </si>
  <si>
    <t xml:space="preserve">1046→1140₽</t>
  </si>
  <si>
    <t xml:space="preserve">1114→1214₽</t>
  </si>
  <si>
    <t xml:space="preserve">1126→1253₽</t>
  </si>
  <si>
    <t xml:space="preserve">980→1090₽</t>
  </si>
  <si>
    <t xml:space="preserve">1058→1177₽</t>
  </si>
  <si>
    <t xml:space="preserve">1214→1351₽</t>
  </si>
  <si>
    <t xml:space="preserve">1066→1186₽</t>
  </si>
  <si>
    <t xml:space="preserve">1265→1407₽</t>
  </si>
  <si>
    <t xml:space="preserve">1138→1266₽</t>
  </si>
  <si>
    <t xml:space="preserve">1166→1297₽</t>
  </si>
  <si>
    <t xml:space="preserve">1254→1395₽</t>
  </si>
  <si>
    <t xml:space="preserve">1176→1308₽</t>
  </si>
  <si>
    <t xml:space="preserve">1242→1382₽</t>
  </si>
  <si>
    <t xml:space="preserve">1328→1478₽</t>
  </si>
  <si>
    <t xml:space="preserve">1145→1270₽</t>
  </si>
  <si>
    <t xml:space="preserve">942→1045₽</t>
  </si>
  <si>
    <t xml:space="preserve">974→1081₽</t>
  </si>
  <si>
    <t xml:space="preserve">1156→1283₽</t>
  </si>
  <si>
    <t xml:space="preserve">1129→1253₽</t>
  </si>
  <si>
    <t xml:space="preserve">1215→1348₽</t>
  </si>
  <si>
    <t xml:space="preserve">1198→1329₽</t>
  </si>
  <si>
    <t xml:space="preserve">1217→1350₽</t>
  </si>
  <si>
    <t xml:space="preserve">1306→1449₽</t>
  </si>
  <si>
    <t xml:space="preserve">1569→1741₽</t>
  </si>
  <si>
    <t xml:space="preserve">1512→1678₽</t>
  </si>
  <si>
    <t xml:space="preserve">940→987₽</t>
  </si>
  <si>
    <t xml:space="preserve">953→1000₽</t>
  </si>
  <si>
    <t xml:space="preserve">950→997₽</t>
  </si>
  <si>
    <t xml:space="preserve">855→897₽</t>
  </si>
  <si>
    <t xml:space="preserve">899→943₽</t>
  </si>
  <si>
    <t xml:space="preserve">942→989₽</t>
  </si>
  <si>
    <t xml:space="preserve">984→1033₽</t>
  </si>
  <si>
    <t xml:space="preserve">Примечание</t>
  </si>
  <si>
    <t xml:space="preserve">Старт с марта 2026</t>
  </si>
  <si>
    <t xml:space="preserve">Рост +7%</t>
  </si>
  <si>
    <t xml:space="preserve">969→1036₽</t>
  </si>
  <si>
    <t xml:space="preserve">963→1030₽</t>
  </si>
  <si>
    <t xml:space="preserve">1045→1118₽</t>
  </si>
  <si>
    <t xml:space="preserve">1012→1082₽</t>
  </si>
  <si>
    <t xml:space="preserve">1035→1107₽</t>
  </si>
  <si>
    <t xml:space="preserve">1026→1097₽</t>
  </si>
  <si>
    <t xml:space="preserve">992→1061₽</t>
  </si>
  <si>
    <t xml:space="preserve">978→1046₽</t>
  </si>
  <si>
    <t xml:space="preserve">1083→1158₽</t>
  </si>
  <si>
    <t xml:space="preserve">1074→1149₽</t>
  </si>
  <si>
    <t xml:space="preserve">1308→1399₽</t>
  </si>
  <si>
    <t xml:space="preserve">ИТОГО ПО СЕТИ - ПОМЕСЯЧНЫЙ ПРОГНОЗ 2026 (реалистичные тренды)</t>
  </si>
  <si>
    <t xml:space="preserve">Все 10 филиалов с реалистичными трендами роста чека</t>
  </si>
  <si>
    <t xml:space="preserve">vs Ср.чек</t>
  </si>
  <si>
    <t xml:space="preserve">-4%</t>
  </si>
  <si>
    <t xml:space="preserve">Низкий чек после НГ</t>
  </si>
  <si>
    <t xml:space="preserve">-6%</t>
  </si>
  <si>
    <t xml:space="preserve">Минимальный чек года</t>
  </si>
  <si>
    <t xml:space="preserve">Март</t>
  </si>
  <si>
    <t xml:space="preserve">-5%</t>
  </si>
  <si>
    <t xml:space="preserve">Весенний подъём</t>
  </si>
  <si>
    <t xml:space="preserve">Апрель</t>
  </si>
  <si>
    <t xml:space="preserve">-1%</t>
  </si>
  <si>
    <t xml:space="preserve">Продолжение роста</t>
  </si>
  <si>
    <t xml:space="preserve">-2%</t>
  </si>
  <si>
    <t xml:space="preserve">Средний месяц</t>
  </si>
  <si>
    <t xml:space="preserve">Июнь</t>
  </si>
  <si>
    <t xml:space="preserve">+1%</t>
  </si>
  <si>
    <t xml:space="preserve">Летний сезон</t>
  </si>
  <si>
    <t xml:space="preserve">+0%</t>
  </si>
  <si>
    <t xml:space="preserve">Высокий чек</t>
  </si>
  <si>
    <t xml:space="preserve">Август</t>
  </si>
  <si>
    <t xml:space="preserve">Сентябрь</t>
  </si>
  <si>
    <t xml:space="preserve">Осенний спад</t>
  </si>
  <si>
    <t xml:space="preserve">Октябрь</t>
  </si>
  <si>
    <t xml:space="preserve">Рост к концу года</t>
  </si>
  <si>
    <t xml:space="preserve">+4%</t>
  </si>
  <si>
    <t xml:space="preserve">Предпраздничный</t>
  </si>
  <si>
    <t xml:space="preserve">+11%</t>
  </si>
  <si>
    <t xml:space="preserve">ПИК! Праздники</t>
  </si>
  <si>
    <t xml:space="preserve">АНАЛИЗ ДИНАМИКИ ЧЕКА (реалистичная модель):</t>
  </si>
  <si>
    <t xml:space="preserve">Самый высокий чек:</t>
  </si>
  <si>
    <t xml:space="preserve">Декабрь - 1296₽ (+11%)</t>
  </si>
  <si>
    <t xml:space="preserve">Самый низкий чек:</t>
  </si>
  <si>
    <t xml:space="preserve">Февраль - 1098₽ (-6%)</t>
  </si>
  <si>
    <t xml:space="preserve">Разброс чека:</t>
  </si>
  <si>
    <t xml:space="preserve">198₽ (17% от среднего)</t>
  </si>
  <si>
    <t xml:space="preserve">✅ ИСПРАВЛЕНО: Тренды роста чека теперь реалистичны (9-11%)</t>
  </si>
  <si>
    <t xml:space="preserve">💰 ФИНАНСОВЫЙ АНАЛИЗ - ПРИБЫЛЬНОСТЬ ПО МЕСЯЦАМ 2026</t>
  </si>
  <si>
    <t xml:space="preserve">ЗП швей = 50% ателье + 10% химчистки | Расходники 1% | Химчистка расход 50%</t>
  </si>
  <si>
    <t xml:space="preserve">Химчистка</t>
  </si>
  <si>
    <t xml:space="preserve">ДОХОДЫ</t>
  </si>
  <si>
    <t xml:space="preserve">ЗП (50%+10%)</t>
  </si>
  <si>
    <t xml:space="preserve">Аренда</t>
  </si>
  <si>
    <t xml:space="preserve">Расходники</t>
  </si>
  <si>
    <t xml:space="preserve">Химч расход</t>
  </si>
  <si>
    <t xml:space="preserve">Коммун</t>
  </si>
  <si>
    <t xml:space="preserve">Прочие</t>
  </si>
  <si>
    <t xml:space="preserve">РАСХОДЫ</t>
  </si>
  <si>
    <t xml:space="preserve">МАРЖА</t>
  </si>
  <si>
    <t xml:space="preserve">ГОД:</t>
  </si>
  <si>
    <t xml:space="preserve">💵 ИТОГО ПРИБЫЛЬНОСТЬ ВСЕЙ СЕТИ - 2026</t>
  </si>
  <si>
    <t xml:space="preserve">Суммарная прибыльность по всем 10 филиалам. ЗП швей = 50% ателье + 10% химчистки</t>
  </si>
  <si>
    <t xml:space="preserve">Рент %</t>
  </si>
  <si>
    <t xml:space="preserve">📊 ФИНАНСОВЫЙ АНАЛИЗ 2026:</t>
  </si>
  <si>
    <t xml:space="preserve">Средняя маржа/мес:</t>
  </si>
  <si>
    <t xml:space="preserve">Средняя рентабельность:</t>
  </si>
  <si>
    <t xml:space="preserve">Лучший месяц (маржа):</t>
  </si>
  <si>
    <t xml:space="preserve">Худший месяц (маржа):</t>
  </si>
  <si>
    <t xml:space="preserve">✅ ИСПРАВЛЕНО: ЗП швей = 50% ателье + 10% химчистки</t>
  </si>
  <si>
    <t xml:space="preserve">СРАВНЕНИЕ ТРЁХ СЦЕНАРИЕВ ПРОГНОЗА</t>
  </si>
  <si>
    <t xml:space="preserve">Консервативный:</t>
  </si>
  <si>
    <t xml:space="preserve">Для растущих +50% от тренда, для падающих -50% (осторожный прогноз)</t>
  </si>
  <si>
    <t xml:space="preserve">Базовый (РЕКОМЕНДУЕМЫЙ):</t>
  </si>
  <si>
    <t xml:space="preserve">Продолжение трендов 2025 с небольшой коррекцией (реалистичный)</t>
  </si>
  <si>
    <t xml:space="preserve">Оптимистичный:</t>
  </si>
  <si>
    <t xml:space="preserve">Для растущих +150% от тренда, для падающих -25% (амбициозный)</t>
  </si>
  <si>
    <t xml:space="preserve">Консервативный</t>
  </si>
  <si>
    <t xml:space="preserve">Базовый</t>
  </si>
  <si>
    <t xml:space="preserve">Оптимистичный</t>
  </si>
  <si>
    <t xml:space="preserve">Разброс</t>
  </si>
  <si>
    <t xml:space="preserve">10 филиалов. Разброс 3.2 млн</t>
  </si>
  <si>
    <t xml:space="preserve">Во всех сценариях небольшое снижение</t>
  </si>
  <si>
    <t xml:space="preserve">Чек растёт во всех сценариях</t>
  </si>
  <si>
    <t xml:space="preserve">Химчистка более консервативна</t>
  </si>
  <si>
    <t xml:space="preserve">Рост оборота vs 2025</t>
  </si>
  <si>
    <t xml:space="preserve">Базовый: +18.9% (рост за счёт Г11)</t>
  </si>
  <si>
    <t xml:space="preserve">Рост клиентов vs 2025</t>
  </si>
  <si>
    <t xml:space="preserve">Все сценарии: небольшой минус</t>
  </si>
  <si>
    <t xml:space="preserve">Рост чека vs 2025</t>
  </si>
  <si>
    <t xml:space="preserve">От +7% до +14%</t>
  </si>
  <si>
    <t xml:space="preserve">РЕКОМЕНДАЦИЯ:</t>
  </si>
  <si>
    <t xml:space="preserve">Используйте БАЗОВЫЙ сценарий как основной план. Консервативный - для бюджета (нижняя граница), Оптимистичный - для амбициозных целей.</t>
  </si>
  <si>
    <t xml:space="preserve">МЕТОДОЛОГИЯ ПРОГНОЗИРОВАНИЯ</t>
  </si>
  <si>
    <t xml:space="preserve">1. ОБЩИЙ ПОДХОД</t>
  </si>
  <si>
    <t xml:space="preserve">Каждый филиал прогнозируется ОТДЕЛЬНО с учётом его специфики:</t>
  </si>
  <si>
    <t xml:space="preserve">• Стадия жизненного цикла</t>
  </si>
  <si>
    <t xml:space="preserve">(новый, зрелый, стареющий)</t>
  </si>
  <si>
    <t xml:space="preserve">• Текущая динамика</t>
  </si>
  <si>
    <t xml:space="preserve">(рост, стабилизация, падение)</t>
  </si>
  <si>
    <t xml:space="preserve">• Особые обстоятельства</t>
  </si>
  <si>
    <t xml:space="preserve">(смена владельца, кадровые проблемы, и т.д.)</t>
  </si>
  <si>
    <t xml:space="preserve">Затем получаем общесетевой прогноз через ВЗВЕШЕННОЕ СРЕДНЕЕ:</t>
  </si>
  <si>
    <t xml:space="preserve">Общий рост = Σ(Рост филиала × Вес филиала в обороте)</t>
  </si>
  <si>
    <t xml:space="preserve">2. ТРИ СЦЕНАРИЯ</t>
  </si>
  <si>
    <t xml:space="preserve">КОНСЕРВАТИВНЫЙ:</t>
  </si>
  <si>
    <t xml:space="preserve">• Для растущих филиалов</t>
  </si>
  <si>
    <t xml:space="preserve">Рост в 2 раза медленнее тренда 2025</t>
  </si>
  <si>
    <t xml:space="preserve">• Для падающих филиалов</t>
  </si>
  <si>
    <t xml:space="preserve">Падение в 2 раза медленнее (начнёт восстанавливаться)</t>
  </si>
  <si>
    <t xml:space="preserve">• Для новых филиалов</t>
  </si>
  <si>
    <t xml:space="preserve">+3% (медленная стабилизация)</t>
  </si>
  <si>
    <t xml:space="preserve">• Химчистка</t>
  </si>
  <si>
    <t xml:space="preserve">-25% от тренда (очень осторожно)</t>
  </si>
  <si>
    <t xml:space="preserve">БАЗОВЫЙ (рекомендуемый):</t>
  </si>
  <si>
    <t xml:space="preserve">• Для зрелых филиалов</t>
  </si>
  <si>
    <t xml:space="preserve">Продолжение трендов 2025</t>
  </si>
  <si>
    <t xml:space="preserve">+5% (стабилизация)</t>
  </si>
  <si>
    <t xml:space="preserve">• Корректировка на реалии</t>
  </si>
  <si>
    <t xml:space="preserve">Учёт особых обстоятельств</t>
  </si>
  <si>
    <t xml:space="preserve">Тренд 2025 или +5% для новых</t>
  </si>
  <si>
    <t xml:space="preserve">ОПТИМИСТИЧНЫЙ:</t>
  </si>
  <si>
    <t xml:space="preserve">Ускорение роста (+150% от тренда)</t>
  </si>
  <si>
    <t xml:space="preserve">Быстрое восстановление (-25% от падения)</t>
  </si>
  <si>
    <t xml:space="preserve">+10% (активный рост)</t>
  </si>
  <si>
    <t xml:space="preserve">+50% от роста или -25% от падения</t>
  </si>
  <si>
    <t xml:space="preserve">3. СПЕЦИФИКА ПО ТИПАМ ФИЛИАЛОВ</t>
  </si>
  <si>
    <t xml:space="preserve">🔥 ЗВЁЗДЫ (Воронцовский 8, 22, Графская 4):</t>
  </si>
  <si>
    <t xml:space="preserve">• Тренд 2025: +14-16% роста</t>
  </si>
  <si>
    <t xml:space="preserve">• Прогноз 2026: продолжение роста (премиализация работает)</t>
  </si>
  <si>
    <t xml:space="preserve">• Риск: замедление роста чека</t>
  </si>
  <si>
    <t xml:space="preserve">⚠️ ПРОБЛЕМНЫЕ (Менделеева 16, Петровский 14, Екатерининская 17):</t>
  </si>
  <si>
    <t xml:space="preserve">• Менделеева: кризис, Q4 катастрофа → консервативный прогноз</t>
  </si>
  <si>
    <t xml:space="preserve">• Петровский: усталость -6% → прогноз -6% (инерция)</t>
  </si>
  <si>
    <t xml:space="preserve">• Екатерининская: провал после покупки → стабилизация в 2026</t>
  </si>
  <si>
    <t xml:space="preserve">✅ СТАБИЛЬНЫЕ (Арсенальная 6):</t>
  </si>
  <si>
    <t xml:space="preserve">• Премиализация работает: +12.5% в 2025</t>
  </si>
  <si>
    <t xml:space="preserve">• Прогноз: продолжение тренда</t>
  </si>
  <si>
    <t xml:space="preserve">🆕 НОВЫЕ (Екатерининский 8, Воронцовский 20):</t>
  </si>
  <si>
    <t xml:space="preserve">• Открыты в 2025, идёт набор клиентской базы</t>
  </si>
  <si>
    <t xml:space="preserve">• Прогноз: +5% (стабилизация и рост)</t>
  </si>
  <si>
    <t xml:space="preserve">4. ХИМЧИСТКА - ОТДЕЛЬНАЯ ЛОГИКА</t>
  </si>
  <si>
    <t xml:space="preserve">Химчистка НЕ коррелирует с ателье:</t>
  </si>
  <si>
    <t xml:space="preserve">• Высокая волатильность месяц к месяцу</t>
  </si>
  <si>
    <t xml:space="preserve">• Зависит от погоды, сезонных акций</t>
  </si>
  <si>
    <t xml:space="preserve">• Пример: Менделеева ателье -14%, химчистка стабильна</t>
  </si>
  <si>
    <t xml:space="preserve">Подход к прогнозу:</t>
  </si>
  <si>
    <t xml:space="preserve">• Более консервативный чем ателье</t>
  </si>
  <si>
    <t xml:space="preserve">• Для падающих: коэффициент 0.75 (не восстановится быстро)</t>
  </si>
  <si>
    <t xml:space="preserve">• Для новых: +5% (постепенный рост)</t>
  </si>
  <si>
    <t xml:space="preserve">5. КЛЮЧЕВЫЕ РИСКИ 2026</t>
  </si>
  <si>
    <t xml:space="preserve">🔴 КРИТИЧЕСКИЕ:</t>
  </si>
  <si>
    <t xml:space="preserve">• Менделеева 16: если Q1-Q2 &lt; 150К/мес → обсуждение закрытия</t>
  </si>
  <si>
    <t xml:space="preserve">• Екатерининская 17: нужно восстановиться до 220К/мес</t>
  </si>
  <si>
    <t xml:space="preserve">⚠️ СРЕДНИЕ:</t>
  </si>
  <si>
    <t xml:space="preserve">• Петровский 14: усталость может углубиться</t>
  </si>
  <si>
    <t xml:space="preserve">• Химчистка: сложно прогнозировать, волатильная</t>
  </si>
  <si>
    <t xml:space="preserve">✅ ВОЗМОЖНОСТИ:</t>
  </si>
  <si>
    <t xml:space="preserve">• Воронцовский 8: эталон для тиражирования опыта</t>
  </si>
  <si>
    <t xml:space="preserve">• Рост чека по всей сети: тренд сохраняется</t>
  </si>
  <si>
    <t xml:space="preserve">• Новые филиалы: потенциал роста при стабилизации</t>
  </si>
  <si>
    <t xml:space="preserve">КЛЮЧЕВЫЕ МЕТРИКИ И ТРЕНДЫ</t>
  </si>
  <si>
    <t xml:space="preserve">ИСТОРИЧЕСКИЕ ТРЕНДЫ СЕТИ</t>
  </si>
  <si>
    <t xml:space="preserve">Год</t>
  </si>
  <si>
    <t xml:space="preserve">2024</t>
  </si>
  <si>
    <t xml:space="preserve">~22 млн</t>
  </si>
  <si>
    <t xml:space="preserve">~900₽</t>
  </si>
  <si>
    <t xml:space="preserve">~24,000</t>
  </si>
  <si>
    <t xml:space="preserve">База для сравнения</t>
  </si>
  <si>
    <t xml:space="preserve">2025</t>
  </si>
  <si>
    <t xml:space="preserve">24.1 млн</t>
  </si>
  <si>
    <t xml:space="preserve">1,117₽</t>
  </si>
  <si>
    <t xml:space="preserve">21,542</t>
  </si>
  <si>
    <t xml:space="preserve">Премиализация: чек +14%, клиенты -5%</t>
  </si>
  <si>
    <t xml:space="preserve">28.6 млн</t>
  </si>
  <si>
    <t xml:space="preserve">1,168₽</t>
  </si>
  <si>
    <t xml:space="preserve">24,492</t>
  </si>
  <si>
    <t xml:space="preserve">10 филиалов: чек +5%, клиенты +14%</t>
  </si>
  <si>
    <t xml:space="preserve">ТОП-3 ФИЛИАЛА ПО РОСТУ 2026</t>
  </si>
  <si>
    <t xml:space="preserve">Место</t>
  </si>
  <si>
    <t xml:space="preserve">Прогноз роста</t>
  </si>
  <si>
    <t xml:space="preserve">Причина успеха</t>
  </si>
  <si>
    <t xml:space="preserve">🥇</t>
  </si>
  <si>
    <t xml:space="preserve">+16.1%</t>
  </si>
  <si>
    <t xml:space="preserve">Эталон премиализации, сильная команда</t>
  </si>
  <si>
    <t xml:space="preserve">🥈</t>
  </si>
  <si>
    <t xml:space="preserve">+14.3%</t>
  </si>
  <si>
    <t xml:space="preserve">Стабильный лидер, надёжный рост</t>
  </si>
  <si>
    <t xml:space="preserve">🥉</t>
  </si>
  <si>
    <t xml:space="preserve">+13.9%</t>
  </si>
  <si>
    <t xml:space="preserve">Зрелый филиал с хорошей динамикой</t>
  </si>
  <si>
    <t xml:space="preserve">ТРЕБУЮТ ВНИМАНИЯ В 2026</t>
  </si>
  <si>
    <t xml:space="preserve">Приоритет</t>
  </si>
  <si>
    <t xml:space="preserve">Прогноз</t>
  </si>
  <si>
    <t xml:space="preserve">Проблема</t>
  </si>
  <si>
    <t xml:space="preserve">Действия</t>
  </si>
  <si>
    <t xml:space="preserve">🔴 Высокий</t>
  </si>
  <si>
    <t xml:space="preserve">-14.0%</t>
  </si>
  <si>
    <t xml:space="preserve">Кризис, Q4 провал</t>
  </si>
  <si>
    <t xml:space="preserve">Мониторинг Q1-Q2, готовность к закрытию</t>
  </si>
  <si>
    <t xml:space="preserve">⚠️ Средний</t>
  </si>
  <si>
    <t xml:space="preserve">-6.1%</t>
  </si>
  <si>
    <t xml:space="preserve">Усталость филиала</t>
  </si>
  <si>
    <t xml:space="preserve">Обновление команды, маркетинг</t>
  </si>
  <si>
    <t xml:space="preserve">0%</t>
  </si>
  <si>
    <t xml:space="preserve">Провал после покупки</t>
  </si>
  <si>
    <t xml:space="preserve">Восстановление клиентской базы</t>
  </si>
  <si>
    <t xml:space="preserve">🆕 Новый</t>
  </si>
  <si>
    <t xml:space="preserve">Старт март 2026</t>
  </si>
  <si>
    <t xml:space="preserve">Куплена 20.02.2026</t>
  </si>
  <si>
    <t xml:space="preserve">Маржа ~112К/мес, низкая аренда 25К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</si>
</sst>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\₽"/>
    <numFmt numFmtId="166" formatCode="0.0%"/>
    <numFmt numFmtId="167" formatCode="#,##0"/>
    <numFmt numFmtId="168" formatCode="0.0\%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FFFFFF"/>
      <name val="Cambria"/>
      <family val="0"/>
      <charset val="1"/>
    </font>
    <font>
      <b val="true"/>
      <sz val="11"/>
      <color rgb="FFC00000"/>
      <name val="Cambria"/>
      <family val="0"/>
      <charset val="1"/>
    </font>
    <font>
      <b val="true"/>
      <sz val="11"/>
      <color rgb="FF008000"/>
      <name val="Cambria"/>
      <family val="0"/>
      <charset val="1"/>
    </font>
    <font>
      <b val="true"/>
      <sz val="11"/>
      <color rgb="FF0000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3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0"/>
      <color rgb="FF1F4E78"/>
      <name val="Cambria"/>
      <family val="0"/>
      <charset val="1"/>
    </font>
    <font>
      <b val="true"/>
      <sz val="14"/>
      <color rgb="FFFFFFFF"/>
      <name val="Cambria"/>
      <family val="0"/>
      <charset val="1"/>
    </font>
    <font>
      <b val="true"/>
      <sz val="12"/>
      <name val="Cambria"/>
      <family val="0"/>
      <charset val="1"/>
    </font>
    <font>
      <i val="true"/>
      <sz val="9"/>
      <color rgb="FFC00000"/>
      <name val="Cambria"/>
      <family val="0"/>
      <charset val="1"/>
    </font>
    <font>
      <b val="true"/>
      <sz val="9"/>
      <name val="Cambria"/>
      <family val="0"/>
      <charset val="1"/>
    </font>
    <font>
      <sz val="8"/>
      <name val="Cambria"/>
      <family val="0"/>
      <charset val="1"/>
    </font>
    <font>
      <b val="true"/>
      <sz val="10"/>
      <color rgb="FF00B050"/>
      <name val="Cambria"/>
      <family val="0"/>
      <charset val="1"/>
    </font>
    <font>
      <b val="true"/>
      <sz val="8"/>
      <name val="Cambria"/>
      <family val="0"/>
      <charset val="1"/>
    </font>
    <font>
      <b val="true"/>
      <sz val="12"/>
      <color rgb="FF1F4E78"/>
      <name val="Cambria"/>
      <family val="0"/>
      <charset val="1"/>
    </font>
    <font>
      <b val="true"/>
      <sz val="10"/>
      <name val="Cambria"/>
      <family val="0"/>
      <charset val="1"/>
    </font>
  </fonts>
  <fills count="18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D9E1F2"/>
        <bgColor rgb="FFE2EFDA"/>
      </patternFill>
    </fill>
    <fill>
      <patternFill patternType="solid">
        <fgColor rgb="FFFFF2CC"/>
        <bgColor rgb="FFFCE4D6"/>
      </patternFill>
    </fill>
    <fill>
      <patternFill patternType="solid">
        <fgColor rgb="FFC00000"/>
        <bgColor rgb="FF800000"/>
      </patternFill>
    </fill>
    <fill>
      <patternFill patternType="solid">
        <fgColor rgb="FF4472C4"/>
        <bgColor rgb="FF666699"/>
      </patternFill>
    </fill>
    <fill>
      <patternFill patternType="solid">
        <fgColor rgb="FF1F4E78"/>
        <bgColor rgb="FF003366"/>
      </patternFill>
    </fill>
    <fill>
      <patternFill patternType="solid">
        <fgColor rgb="FF70AD47"/>
        <bgColor rgb="FF99CC00"/>
      </patternFill>
    </fill>
    <fill>
      <patternFill patternType="solid">
        <fgColor rgb="FFFFFF00"/>
        <bgColor rgb="FFFFFF00"/>
      </patternFill>
    </fill>
    <fill>
      <patternFill patternType="solid">
        <fgColor rgb="FFC5E0B4"/>
        <bgColor rgb="FFC6E0B4"/>
      </patternFill>
    </fill>
    <fill>
      <patternFill patternType="solid">
        <fgColor rgb="FFFFD966"/>
        <bgColor rgb="FFFFEB9C"/>
      </patternFill>
    </fill>
    <fill>
      <patternFill patternType="solid">
        <fgColor rgb="FFE2EFDA"/>
        <bgColor rgb="FFD9E1F2"/>
      </patternFill>
    </fill>
    <fill>
      <patternFill patternType="solid">
        <fgColor rgb="FFFCE4D6"/>
        <bgColor rgb="FFFFF2CC"/>
      </patternFill>
    </fill>
    <fill>
      <patternFill patternType="solid">
        <fgColor rgb="FFFFEB9C"/>
        <bgColor rgb="FFFFF2CC"/>
      </patternFill>
    </fill>
    <fill>
      <patternFill patternType="solid">
        <fgColor rgb="FFC6EFCE"/>
        <bgColor rgb="FFC6E0B4"/>
      </patternFill>
    </fill>
    <fill>
      <patternFill patternType="solid">
        <fgColor rgb="FFC6E0B4"/>
        <bgColor rgb="FFC5E0B4"/>
      </patternFill>
    </fill>
    <fill>
      <patternFill patternType="solid">
        <fgColor rgb="FFF4B084"/>
        <bgColor rgb="FFFFD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0" fillId="8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6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6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5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4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1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5" fillId="11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9" fillId="2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1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1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1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1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9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6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17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5E0B4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6E0B4"/>
      <rgbColor rgb="FFC6EFCE"/>
      <rgbColor rgb="FFFFEB9C"/>
      <rgbColor rgb="FFFCE4D6"/>
      <rgbColor rgb="FFF4B084"/>
      <rgbColor rgb="FFCC99FF"/>
      <rgbColor rgb="FFFFD966"/>
      <rgbColor rgb="FF4472C4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00B050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3" min="2" style="1" width="25"/>
    <col collapsed="false" customWidth="true" hidden="false" outlineLevel="0" max="4" min="4" style="1" width="30"/>
    <col collapsed="false" customWidth="true" hidden="false" outlineLevel="0" max="5" min="5" style="1" width="15"/>
  </cols>
  <sheetData>
    <row r="1" customFormat="false" ht="15" hidden="false" customHeight="true" outlineLevel="0" collapsed="false">
      <c r="A1" s="2" t="s">
        <v>0</v>
      </c>
      <c r="B1" s="2"/>
      <c r="C1" s="2"/>
      <c r="D1" s="2"/>
      <c r="E1" s="2"/>
    </row>
    <row r="3" customFormat="false" ht="15" hidden="false" customHeight="true" outlineLevel="0" collapsed="false">
      <c r="A3" s="3" t="s">
        <v>1</v>
      </c>
    </row>
    <row r="4" customFormat="false" ht="15" hidden="false" customHeight="true" outlineLevel="0" collapsed="false">
      <c r="A4" s="1" t="s">
        <v>2</v>
      </c>
      <c r="B4" s="4" t="s">
        <v>3</v>
      </c>
      <c r="C4" s="4"/>
      <c r="D4" s="4"/>
      <c r="E4" s="4"/>
    </row>
    <row r="5" customFormat="false" ht="15" hidden="false" customHeight="true" outlineLevel="0" collapsed="false">
      <c r="A5" s="1" t="s">
        <v>4</v>
      </c>
      <c r="B5" s="4" t="s">
        <v>5</v>
      </c>
      <c r="C5" s="4"/>
      <c r="D5" s="4"/>
      <c r="E5" s="4"/>
    </row>
    <row r="6" customFormat="false" ht="15" hidden="false" customHeight="true" outlineLevel="0" collapsed="false">
      <c r="A6" s="1" t="s">
        <v>6</v>
      </c>
      <c r="B6" s="5" t="s">
        <v>7</v>
      </c>
      <c r="C6" s="5"/>
      <c r="D6" s="5"/>
      <c r="E6" s="5"/>
    </row>
    <row r="8" customFormat="false" ht="15" hidden="false" customHeight="true" outlineLevel="0" collapsed="false">
      <c r="A8" s="6" t="s">
        <v>8</v>
      </c>
    </row>
    <row r="9" customFormat="false" ht="15" hidden="false" customHeight="true" outlineLevel="0" collapsed="false">
      <c r="A9" s="1" t="s">
        <v>9</v>
      </c>
      <c r="B9" s="4" t="s">
        <v>10</v>
      </c>
      <c r="C9" s="4"/>
      <c r="D9" s="4"/>
      <c r="E9" s="4"/>
    </row>
    <row r="10" customFormat="false" ht="15" hidden="false" customHeight="true" outlineLevel="0" collapsed="false">
      <c r="A10" s="1" t="s">
        <v>11</v>
      </c>
      <c r="B10" s="4" t="s">
        <v>12</v>
      </c>
      <c r="C10" s="4"/>
      <c r="D10" s="4"/>
      <c r="E10" s="4"/>
    </row>
    <row r="11" customFormat="false" ht="15" hidden="false" customHeight="true" outlineLevel="0" collapsed="false">
      <c r="A11" s="1" t="s">
        <v>13</v>
      </c>
      <c r="B11" s="4" t="s">
        <v>14</v>
      </c>
      <c r="C11" s="4"/>
      <c r="D11" s="4"/>
      <c r="E11" s="4"/>
    </row>
    <row r="12" customFormat="false" ht="15" hidden="false" customHeight="true" outlineLevel="0" collapsed="false">
      <c r="A12" s="1" t="s">
        <v>15</v>
      </c>
      <c r="B12" s="7" t="s">
        <v>16</v>
      </c>
      <c r="C12" s="7"/>
      <c r="D12" s="7"/>
      <c r="E12" s="7"/>
    </row>
    <row r="14" customFormat="false" ht="15" hidden="false" customHeight="true" outlineLevel="0" collapsed="false">
      <c r="A14" s="8" t="s">
        <v>17</v>
      </c>
    </row>
    <row r="15" customFormat="false" ht="15" hidden="false" customHeight="true" outlineLevel="0" collapsed="false">
      <c r="A15" s="9" t="s">
        <v>18</v>
      </c>
      <c r="B15" s="9" t="s">
        <v>19</v>
      </c>
      <c r="C15" s="9" t="s">
        <v>20</v>
      </c>
      <c r="D15" s="9" t="s">
        <v>21</v>
      </c>
    </row>
    <row r="16" customFormat="false" ht="15" hidden="false" customHeight="true" outlineLevel="0" collapsed="false">
      <c r="A16" s="1" t="s">
        <v>22</v>
      </c>
      <c r="B16" s="1" t="n">
        <v>1145</v>
      </c>
      <c r="C16" s="1" t="n">
        <v>1532</v>
      </c>
      <c r="D16" s="1" t="s">
        <v>23</v>
      </c>
    </row>
    <row r="17" customFormat="false" ht="15" hidden="false" customHeight="true" outlineLevel="0" collapsed="false">
      <c r="A17" s="1" t="s">
        <v>24</v>
      </c>
      <c r="B17" s="1" t="n">
        <v>942</v>
      </c>
      <c r="C17" s="1" t="n">
        <v>1260</v>
      </c>
      <c r="D17" s="1" t="s">
        <v>25</v>
      </c>
    </row>
    <row r="18" customFormat="false" ht="15" hidden="false" customHeight="true" outlineLevel="0" collapsed="false">
      <c r="A18" s="1" t="s">
        <v>26</v>
      </c>
      <c r="B18" s="1" t="n">
        <v>1215</v>
      </c>
      <c r="C18" s="1" t="n">
        <v>1626</v>
      </c>
      <c r="D18" s="1" t="s">
        <v>27</v>
      </c>
    </row>
    <row r="19" customFormat="false" ht="15" hidden="false" customHeight="true" outlineLevel="0" collapsed="false">
      <c r="A19" s="1" t="s">
        <v>28</v>
      </c>
      <c r="B19" s="1" t="n">
        <v>1569</v>
      </c>
      <c r="C19" s="1" t="n">
        <v>2099</v>
      </c>
      <c r="D19" s="6" t="s">
        <v>29</v>
      </c>
    </row>
    <row r="20" customFormat="false" ht="15" hidden="false" customHeight="true" outlineLevel="0" collapsed="false">
      <c r="A20" s="1" t="s">
        <v>30</v>
      </c>
      <c r="B20" s="1" t="n">
        <v>1512</v>
      </c>
      <c r="C20" s="1" t="n">
        <v>2023</v>
      </c>
      <c r="D20" s="1" t="s">
        <v>31</v>
      </c>
    </row>
    <row r="22" customFormat="false" ht="15" hidden="false" customHeight="true" outlineLevel="0" collapsed="false">
      <c r="A22" s="10" t="s">
        <v>32</v>
      </c>
    </row>
    <row r="23" customFormat="false" ht="15" hidden="false" customHeight="true" outlineLevel="0" collapsed="false">
      <c r="A23" s="4" t="s">
        <v>33</v>
      </c>
      <c r="B23" s="4"/>
      <c r="C23" s="4"/>
      <c r="D23" s="4"/>
      <c r="E23" s="4"/>
    </row>
    <row r="24" customFormat="false" ht="15" hidden="false" customHeight="true" outlineLevel="0" collapsed="false">
      <c r="A24" s="4" t="s">
        <v>34</v>
      </c>
      <c r="B24" s="4"/>
      <c r="C24" s="4"/>
      <c r="D24" s="4"/>
      <c r="E24" s="4"/>
    </row>
    <row r="25" customFormat="false" ht="15" hidden="false" customHeight="true" outlineLevel="0" collapsed="false">
      <c r="A25" s="4" t="s">
        <v>35</v>
      </c>
      <c r="B25" s="4"/>
      <c r="C25" s="4"/>
      <c r="D25" s="4"/>
      <c r="E25" s="4"/>
    </row>
    <row r="26" customFormat="false" ht="15" hidden="false" customHeight="true" outlineLevel="0" collapsed="false">
      <c r="A26" s="4" t="s">
        <v>36</v>
      </c>
      <c r="B26" s="4"/>
      <c r="C26" s="4"/>
      <c r="D26" s="4"/>
      <c r="E26" s="4"/>
    </row>
    <row r="27" customFormat="false" ht="15" hidden="false" customHeight="true" outlineLevel="0" collapsed="false">
      <c r="A27" s="4" t="s">
        <v>37</v>
      </c>
      <c r="B27" s="4"/>
      <c r="C27" s="4"/>
      <c r="D27" s="4"/>
      <c r="E27" s="4"/>
    </row>
    <row r="29" customFormat="false" ht="15" hidden="false" customHeight="true" outlineLevel="0" collapsed="false">
      <c r="A29" s="8" t="s">
        <v>38</v>
      </c>
    </row>
    <row r="30" customFormat="false" ht="15" hidden="false" customHeight="true" outlineLevel="0" collapsed="false">
      <c r="A30" s="11" t="s">
        <v>39</v>
      </c>
      <c r="B30" s="11" t="s">
        <v>40</v>
      </c>
      <c r="C30" s="11" t="s">
        <v>41</v>
      </c>
      <c r="D30" s="11" t="s">
        <v>42</v>
      </c>
    </row>
    <row r="31" customFormat="false" ht="15" hidden="false" customHeight="true" outlineLevel="0" collapsed="false">
      <c r="A31" s="1" t="s">
        <v>43</v>
      </c>
      <c r="B31" s="1" t="s">
        <v>44</v>
      </c>
      <c r="C31" s="1" t="s">
        <v>45</v>
      </c>
      <c r="D31" s="1" t="s">
        <v>46</v>
      </c>
    </row>
    <row r="32" customFormat="false" ht="15" hidden="false" customHeight="true" outlineLevel="0" collapsed="false">
      <c r="A32" s="1" t="s">
        <v>47</v>
      </c>
      <c r="B32" s="1" t="s">
        <v>48</v>
      </c>
      <c r="C32" s="1" t="s">
        <v>49</v>
      </c>
      <c r="D32" s="1" t="s">
        <v>50</v>
      </c>
    </row>
    <row r="33" customFormat="false" ht="15" hidden="false" customHeight="true" outlineLevel="0" collapsed="false">
      <c r="A33" s="1" t="s">
        <v>51</v>
      </c>
      <c r="B33" s="1" t="s">
        <v>48</v>
      </c>
      <c r="C33" s="1" t="s">
        <v>52</v>
      </c>
      <c r="D33" s="1" t="s">
        <v>53</v>
      </c>
    </row>
    <row r="34" customFormat="false" ht="15" hidden="false" customHeight="true" outlineLevel="0" collapsed="false">
      <c r="A34" s="1" t="s">
        <v>54</v>
      </c>
      <c r="B34" s="1" t="s">
        <v>55</v>
      </c>
      <c r="C34" s="1" t="s">
        <v>56</v>
      </c>
      <c r="D34" s="1" t="s">
        <v>57</v>
      </c>
    </row>
    <row r="36" customFormat="false" ht="15" hidden="false" customHeight="true" outlineLevel="0" collapsed="false">
      <c r="A36" s="12" t="s">
        <v>58</v>
      </c>
      <c r="B36" s="12"/>
      <c r="C36" s="12"/>
      <c r="D36" s="12"/>
      <c r="E36" s="12"/>
    </row>
    <row r="38" customFormat="false" ht="15" hidden="false" customHeight="true" outlineLevel="0" collapsed="false">
      <c r="A38" s="3" t="s">
        <v>59</v>
      </c>
    </row>
    <row r="39" customFormat="false" ht="15" hidden="false" customHeight="true" outlineLevel="0" collapsed="false">
      <c r="A39" s="1" t="s">
        <v>60</v>
      </c>
      <c r="B39" s="4" t="s">
        <v>61</v>
      </c>
      <c r="C39" s="4"/>
      <c r="D39" s="4"/>
      <c r="E39" s="4"/>
    </row>
    <row r="40" customFormat="false" ht="15" hidden="false" customHeight="true" outlineLevel="0" collapsed="false">
      <c r="A40" s="1" t="s">
        <v>62</v>
      </c>
      <c r="B40" s="4" t="s">
        <v>63</v>
      </c>
      <c r="C40" s="4"/>
      <c r="D40" s="4"/>
      <c r="E40" s="4"/>
    </row>
    <row r="41" customFormat="false" ht="15" hidden="false" customHeight="true" outlineLevel="0" collapsed="false">
      <c r="A41" s="1" t="s">
        <v>64</v>
      </c>
      <c r="B41" s="13" t="s">
        <v>65</v>
      </c>
      <c r="C41" s="13"/>
      <c r="D41" s="13"/>
      <c r="E41" s="13"/>
    </row>
    <row r="43" customFormat="false" ht="15" hidden="false" customHeight="true" outlineLevel="0" collapsed="false">
      <c r="A43" s="8" t="s">
        <v>66</v>
      </c>
    </row>
    <row r="44" customFormat="false" ht="15" hidden="false" customHeight="true" outlineLevel="0" collapsed="false">
      <c r="A44" s="9" t="s">
        <v>67</v>
      </c>
      <c r="B44" s="9" t="s">
        <v>68</v>
      </c>
      <c r="C44" s="9" t="s">
        <v>69</v>
      </c>
    </row>
    <row r="45" customFormat="false" ht="15" hidden="false" customHeight="true" outlineLevel="0" collapsed="false">
      <c r="A45" s="1" t="s">
        <v>70</v>
      </c>
      <c r="B45" s="1" t="s">
        <v>71</v>
      </c>
      <c r="C45" s="1" t="s">
        <v>72</v>
      </c>
    </row>
    <row r="46" customFormat="false" ht="15" hidden="false" customHeight="true" outlineLevel="0" collapsed="false">
      <c r="A46" s="1" t="s">
        <v>73</v>
      </c>
      <c r="B46" s="1" t="s">
        <v>74</v>
      </c>
      <c r="C46" s="6" t="s">
        <v>75</v>
      </c>
    </row>
    <row r="47" customFormat="false" ht="15" hidden="false" customHeight="true" outlineLevel="0" collapsed="false">
      <c r="A47" s="1" t="s">
        <v>76</v>
      </c>
      <c r="B47" s="1" t="s">
        <v>74</v>
      </c>
      <c r="C47" s="6" t="s">
        <v>77</v>
      </c>
    </row>
    <row r="48" customFormat="false" ht="15" hidden="false" customHeight="true" outlineLevel="0" collapsed="false">
      <c r="A48" s="1" t="s">
        <v>78</v>
      </c>
      <c r="B48" s="1" t="s">
        <v>79</v>
      </c>
      <c r="C48" s="1" t="s">
        <v>72</v>
      </c>
    </row>
    <row r="49" customFormat="false" ht="15" hidden="false" customHeight="true" outlineLevel="0" collapsed="false">
      <c r="A49" s="1" t="s">
        <v>80</v>
      </c>
      <c r="B49" s="1" t="s">
        <v>81</v>
      </c>
      <c r="C49" s="1" t="s">
        <v>72</v>
      </c>
    </row>
    <row r="50" customFormat="false" ht="15" hidden="false" customHeight="true" outlineLevel="0" collapsed="false">
      <c r="A50" s="1" t="s">
        <v>82</v>
      </c>
      <c r="B50" s="1" t="s">
        <v>83</v>
      </c>
      <c r="C50" s="1" t="s">
        <v>72</v>
      </c>
    </row>
    <row r="51" customFormat="false" ht="15" hidden="false" customHeight="true" outlineLevel="0" collapsed="false">
      <c r="A51" s="1" t="s">
        <v>84</v>
      </c>
      <c r="B51" s="1" t="s">
        <v>85</v>
      </c>
      <c r="C51" s="1" t="s">
        <v>86</v>
      </c>
    </row>
    <row r="53" customFormat="false" ht="15" hidden="false" customHeight="true" outlineLevel="0" collapsed="false">
      <c r="A53" s="7" t="s">
        <v>87</v>
      </c>
      <c r="B53" s="7"/>
      <c r="C53" s="7"/>
      <c r="D53" s="7"/>
      <c r="E53" s="7"/>
    </row>
    <row r="55" customFormat="false" ht="15" hidden="false" customHeight="true" outlineLevel="0" collapsed="false">
      <c r="A55" s="8" t="s">
        <v>88</v>
      </c>
    </row>
    <row r="56" customFormat="false" ht="15" hidden="false" customHeight="true" outlineLevel="0" collapsed="false">
      <c r="A56" s="1" t="s">
        <v>89</v>
      </c>
    </row>
    <row r="57" customFormat="false" ht="15" hidden="false" customHeight="true" outlineLevel="0" collapsed="false">
      <c r="A57" s="1" t="s">
        <v>90</v>
      </c>
    </row>
    <row r="58" customFormat="false" ht="15" hidden="false" customHeight="true" outlineLevel="0" collapsed="false">
      <c r="A58" s="1" t="s">
        <v>91</v>
      </c>
    </row>
  </sheetData>
  <mergeCells count="18">
    <mergeCell ref="A1:E1"/>
    <mergeCell ref="B4:E4"/>
    <mergeCell ref="B5:E5"/>
    <mergeCell ref="B6:E6"/>
    <mergeCell ref="B9:E9"/>
    <mergeCell ref="B10:E10"/>
    <mergeCell ref="B11:E11"/>
    <mergeCell ref="B12:E12"/>
    <mergeCell ref="A23:E23"/>
    <mergeCell ref="A24:E24"/>
    <mergeCell ref="A25:E25"/>
    <mergeCell ref="A26:E26"/>
    <mergeCell ref="A27:E27"/>
    <mergeCell ref="A36:E36"/>
    <mergeCell ref="B39:E39"/>
    <mergeCell ref="B40:E40"/>
    <mergeCell ref="B41:E41"/>
    <mergeCell ref="A53:E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2" min="2" style="1" width="30"/>
    <col collapsed="false" customWidth="true" hidden="false" outlineLevel="0" max="4" min="3" style="1" width="18"/>
    <col collapsed="false" customWidth="true" hidden="false" outlineLevel="0" max="5" min="5" style="1" width="15"/>
    <col collapsed="false" customWidth="true" hidden="false" outlineLevel="0" max="6" min="6" style="1" width="40"/>
  </cols>
  <sheetData>
    <row r="1" customFormat="false" ht="15.75" hidden="false" customHeight="true" outlineLevel="0" collapsed="false">
      <c r="A1" s="14" t="s">
        <v>92</v>
      </c>
      <c r="B1" s="14"/>
      <c r="C1" s="14"/>
      <c r="D1" s="14"/>
      <c r="E1" s="14"/>
      <c r="F1" s="14"/>
    </row>
    <row r="3" customFormat="false" ht="15" hidden="false" customHeight="true" outlineLevel="0" collapsed="false">
      <c r="A3" s="3" t="s">
        <v>93</v>
      </c>
    </row>
    <row r="4" customFormat="false" ht="30" hidden="false" customHeight="true" outlineLevel="0" collapsed="false">
      <c r="A4" s="4" t="s">
        <v>94</v>
      </c>
      <c r="B4" s="4"/>
      <c r="C4" s="4"/>
      <c r="D4" s="4"/>
      <c r="E4" s="4"/>
      <c r="F4" s="4"/>
    </row>
    <row r="6" customFormat="false" ht="15" hidden="false" customHeight="true" outlineLevel="0" collapsed="false">
      <c r="A6" s="15" t="s">
        <v>67</v>
      </c>
      <c r="B6" s="15" t="s">
        <v>95</v>
      </c>
      <c r="C6" s="15" t="s">
        <v>96</v>
      </c>
      <c r="D6" s="15" t="s">
        <v>97</v>
      </c>
      <c r="E6" s="15" t="s">
        <v>98</v>
      </c>
      <c r="F6" s="15" t="s">
        <v>42</v>
      </c>
    </row>
    <row r="7" customFormat="false" ht="15" hidden="false" customHeight="true" outlineLevel="0" collapsed="false">
      <c r="A7" s="1" t="s">
        <v>99</v>
      </c>
      <c r="B7" s="1" t="s">
        <v>100</v>
      </c>
      <c r="C7" s="16" t="n">
        <v>1333800</v>
      </c>
      <c r="D7" s="16" t="n">
        <v>2000700</v>
      </c>
      <c r="E7" s="1" t="s">
        <v>101</v>
      </c>
      <c r="F7" s="1" t="s">
        <v>102</v>
      </c>
    </row>
    <row r="8" customFormat="false" ht="15" hidden="false" customHeight="true" outlineLevel="0" collapsed="false">
      <c r="A8" s="1" t="s">
        <v>103</v>
      </c>
      <c r="B8" s="1" t="s">
        <v>104</v>
      </c>
      <c r="C8" s="16" t="n">
        <v>768100</v>
      </c>
      <c r="D8" s="16" t="n">
        <v>1316742</v>
      </c>
      <c r="E8" s="1" t="s">
        <v>105</v>
      </c>
      <c r="F8" s="1" t="s">
        <v>106</v>
      </c>
    </row>
    <row r="9" customFormat="false" ht="15" hidden="false" customHeight="true" outlineLevel="0" collapsed="false">
      <c r="A9" s="1" t="s">
        <v>107</v>
      </c>
      <c r="B9" s="1" t="s">
        <v>108</v>
      </c>
      <c r="C9" s="1" t="n">
        <v>3009618</v>
      </c>
      <c r="D9" s="1" t="n">
        <v>2784711</v>
      </c>
      <c r="E9" s="1" t="s">
        <v>109</v>
      </c>
      <c r="F9" s="1" t="s">
        <v>110</v>
      </c>
    </row>
    <row r="10" customFormat="false" ht="15" hidden="false" customHeight="true" outlineLevel="0" collapsed="false">
      <c r="A10" s="1" t="s">
        <v>111</v>
      </c>
      <c r="B10" s="1" t="s">
        <v>112</v>
      </c>
      <c r="C10" s="16" t="n">
        <v>367000</v>
      </c>
      <c r="D10" s="16" t="n">
        <v>2202000</v>
      </c>
      <c r="E10" s="1" t="s">
        <v>113</v>
      </c>
      <c r="F10" s="1" t="s">
        <v>114</v>
      </c>
    </row>
    <row r="11" customFormat="false" ht="15" hidden="false" customHeight="true" outlineLevel="0" collapsed="false"/>
    <row r="12" customFormat="false" ht="15" hidden="false" customHeight="true" outlineLevel="0" collapsed="false">
      <c r="A12" s="8" t="s">
        <v>115</v>
      </c>
    </row>
    <row r="13" customFormat="false" ht="15" hidden="false" customHeight="true" outlineLevel="0" collapsed="false">
      <c r="A13" s="17" t="s">
        <v>116</v>
      </c>
    </row>
    <row r="14" customFormat="false" ht="15" hidden="false" customHeight="true" outlineLevel="0" collapsed="false">
      <c r="A14" s="1" t="s">
        <v>117</v>
      </c>
    </row>
    <row r="15" customFormat="false" ht="15" hidden="false" customHeight="true" outlineLevel="0" collapsed="false">
      <c r="A15" s="1" t="s">
        <v>118</v>
      </c>
    </row>
    <row r="16" customFormat="false" ht="15" hidden="false" customHeight="true" outlineLevel="0" collapsed="false"/>
    <row r="17" customFormat="false" ht="15" hidden="false" customHeight="true" outlineLevel="0" collapsed="false">
      <c r="A17" s="17" t="s">
        <v>119</v>
      </c>
    </row>
    <row r="18" customFormat="false" ht="15" hidden="false" customHeight="true" outlineLevel="0" collapsed="false">
      <c r="A18" s="1" t="s">
        <v>120</v>
      </c>
    </row>
    <row r="19" customFormat="false" ht="15" hidden="false" customHeight="true" outlineLevel="0" collapsed="false">
      <c r="A19" s="1" t="s">
        <v>121</v>
      </c>
    </row>
    <row r="20" customFormat="false" ht="15" hidden="false" customHeight="true" outlineLevel="0" collapsed="false">
      <c r="A20" s="1" t="s">
        <v>122</v>
      </c>
    </row>
    <row r="21" customFormat="false" ht="15" hidden="false" customHeight="true" outlineLevel="0" collapsed="false">
      <c r="A21" s="1" t="s">
        <v>123</v>
      </c>
    </row>
    <row r="22" customFormat="false" ht="15" hidden="false" customHeight="true" outlineLevel="0" collapsed="false">
      <c r="A22" s="1" t="s">
        <v>124</v>
      </c>
    </row>
    <row r="23" customFormat="false" ht="15" hidden="false" customHeight="true" outlineLevel="0" collapsed="false"/>
    <row r="24" customFormat="false" ht="15" hidden="false" customHeight="true" outlineLevel="0" collapsed="false">
      <c r="A24" s="17" t="s">
        <v>125</v>
      </c>
    </row>
    <row r="25" customFormat="false" ht="15" hidden="false" customHeight="true" outlineLevel="0" collapsed="false"/>
    <row r="26" customFormat="false" ht="15" hidden="false" customHeight="true" outlineLevel="0" collapsed="false">
      <c r="A26" s="1" t="s">
        <v>126</v>
      </c>
    </row>
    <row r="27" customFormat="false" ht="15" hidden="false" customHeight="true" outlineLevel="0" collapsed="false">
      <c r="A27" s="1" t="s">
        <v>127</v>
      </c>
    </row>
    <row r="28" customFormat="false" ht="15" hidden="false" customHeight="true" outlineLevel="0" collapsed="false">
      <c r="A28" s="1" t="s">
        <v>128</v>
      </c>
    </row>
    <row r="29" customFormat="false" ht="15" hidden="false" customHeight="true" outlineLevel="0" collapsed="false"/>
    <row r="30" customFormat="false" ht="15" hidden="false" customHeight="true" outlineLevel="0" collapsed="false">
      <c r="A30" s="1" t="s">
        <v>129</v>
      </c>
    </row>
    <row r="31" customFormat="false" ht="15" hidden="false" customHeight="true" outlineLevel="0" collapsed="false">
      <c r="A31" s="1" t="s">
        <v>130</v>
      </c>
    </row>
    <row r="32" customFormat="false" ht="15" hidden="false" customHeight="true" outlineLevel="0" collapsed="false">
      <c r="A32" s="1" t="s">
        <v>131</v>
      </c>
    </row>
    <row r="33" customFormat="false" ht="15" hidden="false" customHeight="true" outlineLevel="0" collapsed="false"/>
    <row r="34" customFormat="false" ht="15" hidden="false" customHeight="true" outlineLevel="0" collapsed="false">
      <c r="A34" s="1" t="s">
        <v>132</v>
      </c>
    </row>
    <row r="35" customFormat="false" ht="15" hidden="false" customHeight="true" outlineLevel="0" collapsed="false">
      <c r="A35" s="1" t="s">
        <v>133</v>
      </c>
    </row>
    <row r="36" customFormat="false" ht="15" hidden="false" customHeight="true" outlineLevel="0" collapsed="false">
      <c r="A36" s="1" t="s">
        <v>134</v>
      </c>
    </row>
    <row r="37" customFormat="false" ht="30" hidden="false" customHeight="true" outlineLevel="0" collapsed="false">
      <c r="A37" s="5" t="s">
        <v>135</v>
      </c>
      <c r="B37" s="5"/>
      <c r="C37" s="5"/>
      <c r="D37" s="5"/>
      <c r="E37" s="5"/>
      <c r="F37" s="5"/>
    </row>
    <row r="38" customFormat="false" ht="15" hidden="false" customHeight="true" outlineLevel="0" collapsed="false">
      <c r="A38" s="18" t="s">
        <v>136</v>
      </c>
    </row>
  </sheetData>
  <mergeCells count="3">
    <mergeCell ref="A1:F1"/>
    <mergeCell ref="A4:F4"/>
    <mergeCell ref="A37:F3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3" min="2" style="1" width="18"/>
    <col collapsed="false" customWidth="true" hidden="false" outlineLevel="0" max="4" min="4" style="1" width="15"/>
    <col collapsed="false" customWidth="true" hidden="false" outlineLevel="0" max="5" min="5" style="1" width="40"/>
  </cols>
  <sheetData>
    <row r="1" customFormat="false" ht="17.25" hidden="false" customHeight="true" outlineLevel="0" collapsed="false">
      <c r="A1" s="19" t="s">
        <v>137</v>
      </c>
      <c r="B1" s="19"/>
      <c r="C1" s="19"/>
      <c r="D1" s="19"/>
      <c r="E1" s="19"/>
      <c r="F1" s="19"/>
      <c r="G1" s="19"/>
      <c r="H1" s="19"/>
    </row>
    <row r="3" customFormat="false" ht="15" hidden="false" customHeight="true" outlineLevel="0" collapsed="false">
      <c r="A3" s="20" t="s">
        <v>138</v>
      </c>
    </row>
    <row r="5" customFormat="false" ht="15" hidden="false" customHeight="true" outlineLevel="0" collapsed="false">
      <c r="A5" s="21" t="s">
        <v>39</v>
      </c>
      <c r="B5" s="21" t="s">
        <v>139</v>
      </c>
      <c r="C5" s="21" t="s">
        <v>140</v>
      </c>
      <c r="D5" s="21" t="s">
        <v>141</v>
      </c>
      <c r="E5" s="21" t="s">
        <v>42</v>
      </c>
    </row>
    <row r="6" customFormat="false" ht="15" hidden="false" customHeight="true" outlineLevel="0" collapsed="false">
      <c r="A6" s="8" t="s">
        <v>142</v>
      </c>
      <c r="B6" s="16" t="n">
        <v>24067292</v>
      </c>
      <c r="C6" s="16" t="n">
        <v>28606283</v>
      </c>
      <c r="D6" s="22" t="n">
        <v>0.188595833714902</v>
      </c>
      <c r="E6" s="1" t="s">
        <v>143</v>
      </c>
    </row>
    <row r="7" customFormat="false" ht="15" hidden="false" customHeight="true" outlineLevel="0" collapsed="false">
      <c r="A7" s="8" t="s">
        <v>144</v>
      </c>
      <c r="B7" s="23" t="n">
        <v>21542</v>
      </c>
      <c r="C7" s="23" t="n">
        <v>24492</v>
      </c>
      <c r="D7" s="22" t="n">
        <v>0.136941788134806</v>
      </c>
      <c r="E7" s="1" t="s">
        <v>145</v>
      </c>
    </row>
    <row r="8" customFormat="false" ht="15" hidden="false" customHeight="true" outlineLevel="0" collapsed="false">
      <c r="A8" s="8" t="s">
        <v>43</v>
      </c>
      <c r="B8" s="1" t="n">
        <f aca="false">B6/B7</f>
        <v>1117.22644137035</v>
      </c>
      <c r="C8" s="1" t="n">
        <v>1167.98477053732</v>
      </c>
      <c r="D8" s="22" t="n">
        <f aca="false">C8/B8-1</f>
        <v>0.0454324452836199</v>
      </c>
      <c r="E8" s="1" t="s">
        <v>146</v>
      </c>
    </row>
    <row r="9" customFormat="false" ht="15" hidden="false" customHeight="true" outlineLevel="0" collapsed="false">
      <c r="A9" s="8" t="s">
        <v>147</v>
      </c>
      <c r="B9" s="16" t="n">
        <v>2598151</v>
      </c>
      <c r="C9" s="16" t="n">
        <v>2431610</v>
      </c>
      <c r="D9" s="22" t="n">
        <v>-0.0640998155996322</v>
      </c>
      <c r="E9" s="1" t="s">
        <v>148</v>
      </c>
    </row>
    <row r="11" customFormat="false" ht="15" hidden="false" customHeight="true" outlineLevel="0" collapsed="false">
      <c r="A11" s="3" t="s">
        <v>149</v>
      </c>
    </row>
    <row r="12" customFormat="false" ht="15" hidden="false" customHeight="true" outlineLevel="0" collapsed="false">
      <c r="A12" s="4" t="s">
        <v>150</v>
      </c>
      <c r="B12" s="4"/>
      <c r="C12" s="4"/>
      <c r="D12" s="4"/>
      <c r="E12" s="4"/>
      <c r="F12" s="4"/>
      <c r="G12" s="4"/>
      <c r="H12" s="4"/>
    </row>
    <row r="13" customFormat="false" ht="15" hidden="false" customHeight="true" outlineLevel="0" collapsed="false">
      <c r="A13" s="4" t="s">
        <v>151</v>
      </c>
      <c r="B13" s="4"/>
      <c r="C13" s="4"/>
      <c r="D13" s="4"/>
      <c r="E13" s="4"/>
      <c r="F13" s="4"/>
      <c r="G13" s="4"/>
      <c r="H13" s="4"/>
    </row>
    <row r="14" customFormat="false" ht="15" hidden="false" customHeight="true" outlineLevel="0" collapsed="false">
      <c r="A14" s="4" t="s">
        <v>152</v>
      </c>
      <c r="B14" s="4"/>
      <c r="C14" s="4"/>
      <c r="D14" s="4"/>
      <c r="E14" s="4"/>
      <c r="F14" s="4"/>
      <c r="G14" s="4"/>
      <c r="H14" s="4"/>
    </row>
    <row r="15" customFormat="false" ht="15" hidden="false" customHeight="true" outlineLevel="0" collapsed="false">
      <c r="A15" s="4" t="s">
        <v>153</v>
      </c>
      <c r="B15" s="4"/>
      <c r="C15" s="4"/>
      <c r="D15" s="4"/>
      <c r="E15" s="4"/>
      <c r="F15" s="4"/>
      <c r="G15" s="4"/>
      <c r="H15" s="4"/>
    </row>
    <row r="16" customFormat="false" ht="15" hidden="false" customHeight="true" outlineLevel="0" collapsed="false">
      <c r="A16" s="4" t="s">
        <v>154</v>
      </c>
      <c r="B16" s="4"/>
      <c r="C16" s="4"/>
      <c r="D16" s="4"/>
      <c r="E16" s="4"/>
      <c r="F16" s="4"/>
      <c r="G16" s="4"/>
      <c r="H16" s="4"/>
    </row>
  </sheetData>
  <mergeCells count="6">
    <mergeCell ref="A1:H1"/>
    <mergeCell ref="A12:H12"/>
    <mergeCell ref="A13:H13"/>
    <mergeCell ref="A14:H14"/>
    <mergeCell ref="A15:H15"/>
    <mergeCell ref="A16:H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5"/>
    <col collapsed="false" customWidth="true" hidden="false" outlineLevel="0" max="3" min="3" style="1" width="12"/>
    <col collapsed="false" customWidth="true" hidden="false" outlineLevel="0" max="4" min="4" style="1" width="15"/>
    <col collapsed="false" customWidth="true" hidden="false" outlineLevel="0" max="5" min="5" style="1" width="10"/>
    <col collapsed="false" customWidth="true" hidden="false" outlineLevel="0" max="7" min="6" style="1" width="14"/>
    <col collapsed="false" customWidth="true" hidden="false" outlineLevel="0" max="9" min="8" style="1" width="12"/>
    <col collapsed="false" customWidth="true" hidden="false" outlineLevel="0" max="11" min="10" style="1" width="15"/>
    <col collapsed="false" customWidth="true" hidden="false" outlineLevel="0" max="12" min="12" style="1" width="35"/>
  </cols>
  <sheetData>
    <row r="1" customFormat="false" ht="15.75" hidden="false" customHeight="true" outlineLevel="0" collapsed="false">
      <c r="A1" s="24" t="s">
        <v>155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</row>
    <row r="3" customFormat="false" ht="27.75" hidden="false" customHeight="true" outlineLevel="0" collapsed="false">
      <c r="A3" s="25" t="s">
        <v>67</v>
      </c>
      <c r="B3" s="25" t="s">
        <v>156</v>
      </c>
      <c r="C3" s="25" t="s">
        <v>157</v>
      </c>
      <c r="D3" s="25" t="s">
        <v>158</v>
      </c>
      <c r="E3" s="25" t="s">
        <v>159</v>
      </c>
      <c r="F3" s="25" t="s">
        <v>160</v>
      </c>
      <c r="G3" s="25" t="s">
        <v>161</v>
      </c>
      <c r="H3" s="25" t="s">
        <v>19</v>
      </c>
      <c r="I3" s="25" t="s">
        <v>162</v>
      </c>
      <c r="J3" s="25" t="s">
        <v>163</v>
      </c>
      <c r="K3" s="25" t="s">
        <v>164</v>
      </c>
      <c r="L3" s="25" t="s">
        <v>165</v>
      </c>
    </row>
    <row r="4" customFormat="false" ht="15" hidden="false" customHeight="true" outlineLevel="0" collapsed="false">
      <c r="A4" s="1" t="s">
        <v>73</v>
      </c>
      <c r="B4" s="16" t="n">
        <v>1675000</v>
      </c>
      <c r="C4" s="26" t="n">
        <v>0.125</v>
      </c>
      <c r="D4" s="16" t="n">
        <v>1884375</v>
      </c>
      <c r="E4" s="26" t="n">
        <f aca="false">D4/B4-1</f>
        <v>0.125</v>
      </c>
      <c r="F4" s="23" t="n">
        <v>1488</v>
      </c>
      <c r="G4" s="23" t="n">
        <v>1308</v>
      </c>
      <c r="H4" s="16" t="n">
        <v>1127</v>
      </c>
      <c r="I4" s="16" t="n">
        <v>1242</v>
      </c>
      <c r="J4" s="16" t="n">
        <v>399838</v>
      </c>
      <c r="K4" s="16" t="n">
        <v>343649</v>
      </c>
      <c r="L4" s="1" t="s">
        <v>166</v>
      </c>
    </row>
    <row r="5" customFormat="false" ht="15" hidden="false" customHeight="true" outlineLevel="0" collapsed="false">
      <c r="A5" s="1" t="s">
        <v>111</v>
      </c>
      <c r="B5" s="16" t="n">
        <v>2202000</v>
      </c>
      <c r="C5" s="26" t="n">
        <v>-0.27</v>
      </c>
      <c r="D5" s="16" t="n">
        <v>2640000</v>
      </c>
      <c r="E5" s="26" t="n">
        <f aca="false">D5/B5-1</f>
        <v>0.198910081743869</v>
      </c>
      <c r="F5" s="23" t="n">
        <v>1866</v>
      </c>
      <c r="G5" s="23" t="n">
        <v>2239</v>
      </c>
      <c r="H5" s="16" t="n">
        <v>1190</v>
      </c>
      <c r="I5" s="16" t="n">
        <v>1249</v>
      </c>
      <c r="J5" s="16" t="n">
        <v>167293</v>
      </c>
      <c r="K5" s="16" t="n">
        <v>175658</v>
      </c>
      <c r="L5" s="1" t="s">
        <v>167</v>
      </c>
    </row>
    <row r="6" customFormat="false" ht="15" hidden="false" customHeight="true" outlineLevel="0" collapsed="false">
      <c r="A6" s="1" t="s">
        <v>99</v>
      </c>
      <c r="B6" s="16" t="n">
        <v>2000700</v>
      </c>
      <c r="C6" s="26" t="n">
        <v>0</v>
      </c>
      <c r="D6" s="16" t="n">
        <v>2100735</v>
      </c>
      <c r="E6" s="26" t="n">
        <f aca="false">D6/B6-1</f>
        <v>0.05</v>
      </c>
      <c r="F6" s="23" t="n">
        <v>1932</v>
      </c>
      <c r="G6" s="23" t="n">
        <v>2028</v>
      </c>
      <c r="H6" s="16" t="n">
        <v>1040</v>
      </c>
      <c r="I6" s="16" t="n">
        <v>1040</v>
      </c>
      <c r="J6" s="16" t="n">
        <v>78150</v>
      </c>
      <c r="K6" s="16" t="n">
        <v>82058</v>
      </c>
      <c r="L6" s="1" t="s">
        <v>168</v>
      </c>
    </row>
    <row r="7" customFormat="false" ht="15" hidden="false" customHeight="true" outlineLevel="0" collapsed="false">
      <c r="A7" s="1" t="s">
        <v>78</v>
      </c>
      <c r="B7" s="16" t="n">
        <v>3205650</v>
      </c>
      <c r="C7" s="26" t="n">
        <v>0.139</v>
      </c>
      <c r="D7" s="16" t="n">
        <v>3651275</v>
      </c>
      <c r="E7" s="26" t="n">
        <f aca="false">D7/B7-1</f>
        <v>0.139012368786362</v>
      </c>
      <c r="F7" s="23" t="n">
        <v>3134</v>
      </c>
      <c r="G7" s="23" t="n">
        <v>3222</v>
      </c>
      <c r="H7" s="16" t="n">
        <v>1023</v>
      </c>
      <c r="I7" s="16" t="n">
        <v>1133</v>
      </c>
      <c r="J7" s="16" t="n">
        <v>241200</v>
      </c>
      <c r="K7" s="16" t="n">
        <v>228336</v>
      </c>
      <c r="L7" s="1" t="s">
        <v>169</v>
      </c>
    </row>
    <row r="8" customFormat="false" ht="15" hidden="false" customHeight="true" outlineLevel="0" collapsed="false">
      <c r="A8" s="1" t="s">
        <v>80</v>
      </c>
      <c r="B8" s="16" t="n">
        <v>2382950</v>
      </c>
      <c r="C8" s="26" t="n">
        <v>-0.14</v>
      </c>
      <c r="D8" s="16" t="n">
        <v>2049337</v>
      </c>
      <c r="E8" s="26" t="n">
        <f aca="false">D8/B8-1</f>
        <v>-0.14</v>
      </c>
      <c r="F8" s="23" t="n">
        <v>1788</v>
      </c>
      <c r="G8" s="23" t="n">
        <v>1413</v>
      </c>
      <c r="H8" s="16" t="n">
        <v>1333</v>
      </c>
      <c r="I8" s="16" t="n">
        <v>1451</v>
      </c>
      <c r="J8" s="16" t="n">
        <v>262650</v>
      </c>
      <c r="K8" s="16" t="n">
        <v>262650</v>
      </c>
      <c r="L8" s="1" t="s">
        <v>170</v>
      </c>
    </row>
    <row r="9" customFormat="false" ht="15" hidden="false" customHeight="true" outlineLevel="0" collapsed="false">
      <c r="A9" s="1" t="s">
        <v>70</v>
      </c>
      <c r="B9" s="16" t="n">
        <v>4505000</v>
      </c>
      <c r="C9" s="26" t="n">
        <v>-0.061</v>
      </c>
      <c r="D9" s="16" t="n">
        <v>4230305</v>
      </c>
      <c r="E9" s="26" t="n">
        <f aca="false">D9/B9-1</f>
        <v>-0.0609755826859045</v>
      </c>
      <c r="F9" s="23" t="n">
        <v>3862</v>
      </c>
      <c r="G9" s="23" t="n">
        <v>3263</v>
      </c>
      <c r="H9" s="16" t="n">
        <v>1166</v>
      </c>
      <c r="I9" s="16" t="n">
        <v>1297</v>
      </c>
      <c r="J9" s="16" t="n">
        <v>488950</v>
      </c>
      <c r="K9" s="16" t="n">
        <v>377060</v>
      </c>
      <c r="L9" s="1" t="s">
        <v>171</v>
      </c>
    </row>
    <row r="10" customFormat="false" ht="15" hidden="false" customHeight="true" outlineLevel="0" collapsed="false">
      <c r="A10" s="1" t="s">
        <v>76</v>
      </c>
      <c r="B10" s="16" t="n">
        <v>3070900</v>
      </c>
      <c r="C10" s="26" t="n">
        <v>0.161</v>
      </c>
      <c r="D10" s="16" t="n">
        <v>3564865</v>
      </c>
      <c r="E10" s="26" t="n">
        <f aca="false">D10/B10-1</f>
        <v>0.160853495717868</v>
      </c>
      <c r="F10" s="23" t="n">
        <v>2514</v>
      </c>
      <c r="G10" s="23" t="n">
        <v>2237</v>
      </c>
      <c r="H10" s="16" t="n">
        <v>1238</v>
      </c>
      <c r="I10" s="16" t="n">
        <v>1594</v>
      </c>
      <c r="J10" s="16" t="n">
        <v>353720</v>
      </c>
      <c r="K10" s="16" t="n">
        <v>269333</v>
      </c>
      <c r="L10" s="1" t="s">
        <v>172</v>
      </c>
    </row>
    <row r="11" customFormat="false" ht="15" hidden="false" customHeight="true" outlineLevel="0" collapsed="false">
      <c r="A11" s="1" t="s">
        <v>103</v>
      </c>
      <c r="B11" s="16" t="n">
        <v>1316742</v>
      </c>
      <c r="C11" s="26" t="n">
        <v>0</v>
      </c>
      <c r="D11" s="16" t="n">
        <v>1382579</v>
      </c>
      <c r="E11" s="26" t="n">
        <f aca="false">D11/B11-1</f>
        <v>0.0499999240549782</v>
      </c>
      <c r="F11" s="23" t="n">
        <v>1407</v>
      </c>
      <c r="G11" s="23" t="n">
        <v>1477</v>
      </c>
      <c r="H11" s="16" t="n">
        <v>937</v>
      </c>
      <c r="I11" s="16" t="n">
        <v>937</v>
      </c>
      <c r="J11" s="16" t="n">
        <v>95650</v>
      </c>
      <c r="K11" s="16" t="n">
        <v>100433</v>
      </c>
      <c r="L11" s="1" t="s">
        <v>173</v>
      </c>
    </row>
    <row r="12" customFormat="false" ht="15" hidden="false" customHeight="true" outlineLevel="0" collapsed="false">
      <c r="A12" s="1" t="s">
        <v>82</v>
      </c>
      <c r="B12" s="16" t="n">
        <v>3708350</v>
      </c>
      <c r="C12" s="26" t="n">
        <v>0.143</v>
      </c>
      <c r="D12" s="16" t="n">
        <v>4238692</v>
      </c>
      <c r="E12" s="26" t="n">
        <f aca="false">D12/B12-1</f>
        <v>0.143012930278965</v>
      </c>
      <c r="F12" s="23" t="n">
        <v>3551</v>
      </c>
      <c r="G12" s="23" t="n">
        <v>3796</v>
      </c>
      <c r="H12" s="16" t="n">
        <v>1044</v>
      </c>
      <c r="I12" s="16" t="n">
        <v>1117</v>
      </c>
      <c r="J12" s="16" t="n">
        <v>433700</v>
      </c>
      <c r="K12" s="16" t="n">
        <v>455385</v>
      </c>
      <c r="L12" s="1" t="s">
        <v>174</v>
      </c>
    </row>
    <row r="13" customFormat="false" ht="15" hidden="false" customHeight="true" outlineLevel="0" collapsed="false">
      <c r="A13" s="1" t="s">
        <v>107</v>
      </c>
      <c r="B13" s="1" t="n">
        <v>3009618</v>
      </c>
      <c r="C13" s="1" t="n">
        <v>0</v>
      </c>
      <c r="D13" s="1" t="n">
        <v>2784711</v>
      </c>
      <c r="E13" s="1" t="n">
        <v>0.05</v>
      </c>
      <c r="F13" s="1" t="n">
        <v>3476</v>
      </c>
      <c r="G13" s="1" t="n">
        <v>2894</v>
      </c>
      <c r="H13" s="1" t="n">
        <v>866</v>
      </c>
      <c r="I13" s="1" t="n">
        <v>970</v>
      </c>
      <c r="J13" s="1" t="n">
        <v>153576</v>
      </c>
      <c r="K13" s="1" t="n">
        <v>127980</v>
      </c>
      <c r="L13" s="1" t="s">
        <v>175</v>
      </c>
    </row>
    <row r="14" customFormat="false" ht="15" hidden="false" customHeight="true" outlineLevel="0" collapsed="false">
      <c r="A14" s="8" t="s">
        <v>176</v>
      </c>
      <c r="B14" s="16" t="n">
        <v>27076910</v>
      </c>
      <c r="D14" s="27" t="n">
        <v>28526874</v>
      </c>
      <c r="E14" s="28" t="n">
        <v>0.0535498326803169</v>
      </c>
      <c r="F14" s="23" t="n">
        <v>25018</v>
      </c>
      <c r="G14" s="23" t="n">
        <v>23877</v>
      </c>
      <c r="J14" s="16" t="n">
        <v>2674727</v>
      </c>
      <c r="K14" s="16" t="n">
        <v>2422542</v>
      </c>
    </row>
  </sheetData>
  <mergeCells count="1">
    <mergeCell ref="A1:L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16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6"/>
    <col collapsed="false" customWidth="true" hidden="false" outlineLevel="0" max="6" min="6" style="1" width="18"/>
  </cols>
  <sheetData>
    <row r="1" customFormat="false" ht="15.75" hidden="false" customHeight="true" outlineLevel="0" collapsed="false">
      <c r="A1" s="24" t="s">
        <v>177</v>
      </c>
      <c r="B1" s="24"/>
      <c r="C1" s="24"/>
      <c r="D1" s="24"/>
      <c r="E1" s="24"/>
      <c r="F1" s="24"/>
    </row>
    <row r="2" customFormat="false" ht="15" hidden="false" customHeight="true" outlineLevel="0" collapsed="false">
      <c r="A2" s="29" t="s">
        <v>178</v>
      </c>
      <c r="B2" s="29"/>
      <c r="C2" s="29"/>
      <c r="D2" s="29"/>
      <c r="E2" s="29"/>
      <c r="F2" s="29"/>
    </row>
    <row r="4" customFormat="false" ht="15" hidden="false" customHeight="true" outlineLevel="0" collapsed="false">
      <c r="A4" s="30" t="s">
        <v>73</v>
      </c>
      <c r="B4" s="30"/>
      <c r="C4" s="30"/>
      <c r="D4" s="30"/>
      <c r="E4" s="30"/>
      <c r="F4" s="30"/>
    </row>
    <row r="5" customFormat="false" ht="21.75" hidden="false" customHeight="true" outlineLevel="0" collapsed="false">
      <c r="A5" s="31" t="s">
        <v>18</v>
      </c>
      <c r="B5" s="31" t="s">
        <v>142</v>
      </c>
      <c r="C5" s="31" t="s">
        <v>43</v>
      </c>
      <c r="D5" s="31" t="s">
        <v>179</v>
      </c>
      <c r="E5" s="31" t="s">
        <v>180</v>
      </c>
      <c r="F5" s="31" t="s">
        <v>181</v>
      </c>
    </row>
    <row r="6" customFormat="false" ht="15" hidden="false" customHeight="true" outlineLevel="0" collapsed="false">
      <c r="A6" s="1" t="s">
        <v>182</v>
      </c>
      <c r="B6" s="16" t="n">
        <v>134732</v>
      </c>
      <c r="C6" s="16" t="n">
        <v>1113</v>
      </c>
      <c r="D6" s="23" t="n">
        <v>121</v>
      </c>
      <c r="E6" s="16" t="n">
        <v>34565</v>
      </c>
      <c r="F6" s="32" t="s">
        <v>183</v>
      </c>
    </row>
    <row r="7" customFormat="false" ht="15" hidden="false" customHeight="true" outlineLevel="0" collapsed="false">
      <c r="A7" s="1" t="s">
        <v>184</v>
      </c>
      <c r="B7" s="16" t="n">
        <v>153576</v>
      </c>
      <c r="C7" s="16" t="n">
        <v>1204</v>
      </c>
      <c r="D7" s="23" t="n">
        <v>127</v>
      </c>
      <c r="E7" s="16" t="n">
        <v>19358</v>
      </c>
      <c r="F7" s="32" t="s">
        <v>185</v>
      </c>
    </row>
    <row r="8" customFormat="false" ht="15" hidden="false" customHeight="true" outlineLevel="0" collapsed="false">
      <c r="A8" s="1" t="s">
        <v>186</v>
      </c>
      <c r="B8" s="16" t="n">
        <v>228480</v>
      </c>
      <c r="C8" s="16" t="n">
        <v>1129</v>
      </c>
      <c r="D8" s="23" t="n">
        <v>202</v>
      </c>
      <c r="E8" s="16" t="n">
        <v>42412</v>
      </c>
      <c r="F8" s="32" t="s">
        <v>187</v>
      </c>
    </row>
    <row r="9" customFormat="false" ht="15" hidden="false" customHeight="true" outlineLevel="0" collapsed="false">
      <c r="A9" s="1" t="s">
        <v>188</v>
      </c>
      <c r="B9" s="16" t="n">
        <v>201000</v>
      </c>
      <c r="C9" s="16" t="n">
        <v>1205</v>
      </c>
      <c r="D9" s="23" t="n">
        <v>166</v>
      </c>
      <c r="E9" s="16" t="n">
        <v>29496</v>
      </c>
      <c r="F9" s="32" t="s">
        <v>189</v>
      </c>
    </row>
    <row r="10" customFormat="false" ht="15" hidden="false" customHeight="true" outlineLevel="0" collapsed="false">
      <c r="A10" s="1" t="s">
        <v>190</v>
      </c>
      <c r="B10" s="16" t="n">
        <v>134889</v>
      </c>
      <c r="C10" s="16" t="n">
        <v>1078</v>
      </c>
      <c r="D10" s="23" t="n">
        <v>125</v>
      </c>
      <c r="E10" s="16" t="n">
        <v>16266</v>
      </c>
      <c r="F10" s="32" t="s">
        <v>191</v>
      </c>
    </row>
    <row r="11" customFormat="false" ht="15" hidden="false" customHeight="true" outlineLevel="0" collapsed="false">
      <c r="A11" s="1" t="s">
        <v>192</v>
      </c>
      <c r="B11" s="16" t="n">
        <v>129550</v>
      </c>
      <c r="C11" s="16" t="n">
        <v>1262</v>
      </c>
      <c r="D11" s="23" t="n">
        <v>102</v>
      </c>
      <c r="E11" s="16" t="n">
        <v>22251</v>
      </c>
      <c r="F11" s="32" t="s">
        <v>193</v>
      </c>
    </row>
    <row r="12" customFormat="false" ht="15" hidden="false" customHeight="true" outlineLevel="0" collapsed="false">
      <c r="A12" s="1" t="s">
        <v>194</v>
      </c>
      <c r="B12" s="16" t="n">
        <v>119029</v>
      </c>
      <c r="C12" s="16" t="n">
        <v>1552</v>
      </c>
      <c r="D12" s="23" t="n">
        <v>76</v>
      </c>
      <c r="E12" s="16" t="n">
        <v>15550</v>
      </c>
      <c r="F12" s="32" t="s">
        <v>195</v>
      </c>
    </row>
    <row r="13" customFormat="false" ht="15" hidden="false" customHeight="true" outlineLevel="0" collapsed="false">
      <c r="A13" s="1" t="s">
        <v>196</v>
      </c>
      <c r="B13" s="16" t="n">
        <v>130964</v>
      </c>
      <c r="C13" s="16" t="n">
        <v>1214</v>
      </c>
      <c r="D13" s="23" t="n">
        <v>107</v>
      </c>
      <c r="E13" s="16" t="n">
        <v>27062</v>
      </c>
      <c r="F13" s="32" t="s">
        <v>197</v>
      </c>
    </row>
    <row r="14" customFormat="false" ht="15" hidden="false" customHeight="true" outlineLevel="0" collapsed="false">
      <c r="A14" s="1" t="s">
        <v>198</v>
      </c>
      <c r="B14" s="16" t="n">
        <v>111963</v>
      </c>
      <c r="C14" s="16" t="n">
        <v>1304</v>
      </c>
      <c r="D14" s="23" t="n">
        <v>85</v>
      </c>
      <c r="E14" s="16" t="n">
        <v>22881</v>
      </c>
      <c r="F14" s="32" t="s">
        <v>199</v>
      </c>
    </row>
    <row r="15" customFormat="false" ht="15" hidden="false" customHeight="true" outlineLevel="0" collapsed="false">
      <c r="A15" s="1" t="s">
        <v>200</v>
      </c>
      <c r="B15" s="16" t="n">
        <v>183098</v>
      </c>
      <c r="C15" s="16" t="n">
        <v>1386</v>
      </c>
      <c r="D15" s="23" t="n">
        <v>132</v>
      </c>
      <c r="E15" s="16" t="n">
        <v>40693</v>
      </c>
      <c r="F15" s="32" t="s">
        <v>201</v>
      </c>
    </row>
    <row r="16" customFormat="false" ht="15" hidden="false" customHeight="true" outlineLevel="0" collapsed="false">
      <c r="A16" s="1" t="s">
        <v>202</v>
      </c>
      <c r="B16" s="16" t="n">
        <v>180114</v>
      </c>
      <c r="C16" s="16" t="n">
        <v>1337</v>
      </c>
      <c r="D16" s="23" t="n">
        <v>134</v>
      </c>
      <c r="E16" s="16" t="n">
        <v>43213</v>
      </c>
      <c r="F16" s="32" t="s">
        <v>203</v>
      </c>
    </row>
    <row r="17" customFormat="false" ht="15" hidden="false" customHeight="true" outlineLevel="0" collapsed="false">
      <c r="A17" s="1" t="s">
        <v>204</v>
      </c>
      <c r="B17" s="16" t="n">
        <v>192206</v>
      </c>
      <c r="C17" s="33" t="n">
        <v>1468</v>
      </c>
      <c r="D17" s="23" t="n">
        <v>130</v>
      </c>
      <c r="E17" s="16" t="n">
        <v>35768</v>
      </c>
      <c r="F17" s="32" t="s">
        <v>205</v>
      </c>
    </row>
    <row r="18" customFormat="false" ht="15" hidden="false" customHeight="true" outlineLevel="0" collapsed="false">
      <c r="A18" s="11" t="s">
        <v>206</v>
      </c>
      <c r="B18" s="34" t="n">
        <f aca="false">SUM(B6:B17)</f>
        <v>1899601</v>
      </c>
      <c r="C18" s="34" t="n">
        <f aca="false">B18/D18</f>
        <v>1260.51824817518</v>
      </c>
      <c r="D18" s="35" t="n">
        <f aca="false">SUM(D6:D17)</f>
        <v>1507</v>
      </c>
      <c r="E18" s="34" t="n">
        <f aca="false">SUM(E6:E17)</f>
        <v>349515</v>
      </c>
    </row>
    <row r="20" customFormat="false" ht="15" hidden="false" customHeight="true" outlineLevel="0" collapsed="false">
      <c r="A20" s="30" t="s">
        <v>111</v>
      </c>
      <c r="B20" s="30"/>
      <c r="C20" s="30"/>
      <c r="D20" s="30"/>
      <c r="E20" s="30"/>
      <c r="F20" s="30"/>
    </row>
    <row r="21" customFormat="false" ht="21.75" hidden="false" customHeight="true" outlineLevel="0" collapsed="false">
      <c r="A21" s="31" t="s">
        <v>18</v>
      </c>
      <c r="B21" s="31" t="s">
        <v>142</v>
      </c>
      <c r="C21" s="31" t="s">
        <v>43</v>
      </c>
      <c r="D21" s="31" t="s">
        <v>179</v>
      </c>
      <c r="E21" s="31" t="s">
        <v>180</v>
      </c>
      <c r="F21" s="31" t="s">
        <v>207</v>
      </c>
    </row>
    <row r="22" customFormat="false" ht="15" hidden="false" customHeight="true" outlineLevel="0" collapsed="false">
      <c r="A22" s="1" t="s">
        <v>182</v>
      </c>
      <c r="B22" s="16" t="n">
        <v>164780</v>
      </c>
      <c r="C22" s="16" t="n">
        <v>1186</v>
      </c>
      <c r="D22" s="23" t="n">
        <v>138</v>
      </c>
      <c r="E22" s="16" t="n">
        <v>12383</v>
      </c>
      <c r="F22" s="32" t="s">
        <v>208</v>
      </c>
    </row>
    <row r="23" customFormat="false" ht="15" hidden="false" customHeight="true" outlineLevel="0" collapsed="false">
      <c r="A23" s="1" t="s">
        <v>184</v>
      </c>
      <c r="B23" s="16" t="n">
        <v>161260</v>
      </c>
      <c r="C23" s="16" t="n">
        <v>1186</v>
      </c>
      <c r="D23" s="23" t="n">
        <v>135</v>
      </c>
      <c r="E23" s="16" t="n">
        <v>9807</v>
      </c>
      <c r="F23" s="32" t="s">
        <v>208</v>
      </c>
    </row>
    <row r="24" customFormat="false" ht="15" hidden="false" customHeight="true" outlineLevel="0" collapsed="false">
      <c r="A24" s="1" t="s">
        <v>186</v>
      </c>
      <c r="B24" s="16" t="n">
        <v>231440</v>
      </c>
      <c r="C24" s="16" t="n">
        <v>1186</v>
      </c>
      <c r="D24" s="23" t="n">
        <v>195</v>
      </c>
      <c r="E24" s="16" t="n">
        <v>15399</v>
      </c>
      <c r="F24" s="32" t="s">
        <v>208</v>
      </c>
    </row>
    <row r="25" customFormat="false" ht="15" hidden="false" customHeight="true" outlineLevel="0" collapsed="false">
      <c r="A25" s="1" t="s">
        <v>188</v>
      </c>
      <c r="B25" s="16" t="n">
        <v>236060</v>
      </c>
      <c r="C25" s="16" t="n">
        <v>1197</v>
      </c>
      <c r="D25" s="23" t="n">
        <v>197</v>
      </c>
      <c r="E25" s="16" t="n">
        <v>19878</v>
      </c>
      <c r="F25" s="32" t="s">
        <v>209</v>
      </c>
    </row>
    <row r="26" customFormat="false" ht="15" hidden="false" customHeight="true" outlineLevel="0" collapsed="false">
      <c r="A26" s="1" t="s">
        <v>190</v>
      </c>
      <c r="B26" s="16" t="n">
        <v>250799</v>
      </c>
      <c r="C26" s="16" t="n">
        <v>1197</v>
      </c>
      <c r="D26" s="23" t="n">
        <v>209</v>
      </c>
      <c r="E26" s="16" t="n">
        <v>16775</v>
      </c>
      <c r="F26" s="32" t="s">
        <v>209</v>
      </c>
    </row>
    <row r="27" customFormat="false" ht="15" hidden="false" customHeight="true" outlineLevel="0" collapsed="false">
      <c r="A27" s="1" t="s">
        <v>192</v>
      </c>
      <c r="B27" s="16" t="n">
        <v>253660</v>
      </c>
      <c r="C27" s="16" t="n">
        <v>1197</v>
      </c>
      <c r="D27" s="23" t="n">
        <v>211</v>
      </c>
      <c r="E27" s="16" t="n">
        <v>11359</v>
      </c>
      <c r="F27" s="32" t="s">
        <v>209</v>
      </c>
    </row>
    <row r="28" customFormat="false" ht="15" hidden="false" customHeight="true" outlineLevel="0" collapsed="false">
      <c r="A28" s="1" t="s">
        <v>194</v>
      </c>
      <c r="B28" s="16" t="n">
        <v>207020</v>
      </c>
      <c r="C28" s="16" t="n">
        <v>1197</v>
      </c>
      <c r="D28" s="23" t="n">
        <v>172</v>
      </c>
      <c r="E28" s="16" t="n">
        <v>9148</v>
      </c>
      <c r="F28" s="32" t="s">
        <v>209</v>
      </c>
    </row>
    <row r="29" customFormat="false" ht="15" hidden="false" customHeight="true" outlineLevel="0" collapsed="false">
      <c r="A29" s="1" t="s">
        <v>196</v>
      </c>
      <c r="B29" s="16" t="n">
        <v>225059</v>
      </c>
      <c r="C29" s="16" t="n">
        <v>1197</v>
      </c>
      <c r="D29" s="23" t="n">
        <v>188</v>
      </c>
      <c r="E29" s="16" t="n">
        <v>10802</v>
      </c>
      <c r="F29" s="32" t="s">
        <v>209</v>
      </c>
    </row>
    <row r="30" customFormat="false" ht="15" hidden="false" customHeight="true" outlineLevel="0" collapsed="false">
      <c r="A30" s="1" t="s">
        <v>198</v>
      </c>
      <c r="B30" s="16" t="n">
        <v>224840</v>
      </c>
      <c r="C30" s="16" t="n">
        <v>1197</v>
      </c>
      <c r="D30" s="23" t="n">
        <v>187</v>
      </c>
      <c r="E30" s="16" t="n">
        <v>14155</v>
      </c>
      <c r="F30" s="32" t="s">
        <v>209</v>
      </c>
    </row>
    <row r="31" customFormat="false" ht="15" hidden="false" customHeight="true" outlineLevel="0" collapsed="false">
      <c r="A31" s="1" t="s">
        <v>200</v>
      </c>
      <c r="B31" s="16" t="n">
        <v>225720</v>
      </c>
      <c r="C31" s="16" t="n">
        <v>1197</v>
      </c>
      <c r="D31" s="23" t="n">
        <v>188</v>
      </c>
      <c r="E31" s="16" t="n">
        <v>21137</v>
      </c>
      <c r="F31" s="32" t="s">
        <v>209</v>
      </c>
    </row>
    <row r="32" customFormat="false" ht="15" hidden="false" customHeight="true" outlineLevel="0" collapsed="false">
      <c r="A32" s="1" t="s">
        <v>202</v>
      </c>
      <c r="B32" s="16" t="n">
        <v>233420</v>
      </c>
      <c r="C32" s="16" t="n">
        <v>1314</v>
      </c>
      <c r="D32" s="23" t="n">
        <v>177</v>
      </c>
      <c r="E32" s="16" t="n">
        <v>18517</v>
      </c>
      <c r="F32" s="32" t="s">
        <v>210</v>
      </c>
    </row>
    <row r="33" customFormat="false" ht="15" hidden="false" customHeight="true" outlineLevel="0" collapsed="false">
      <c r="A33" s="1" t="s">
        <v>204</v>
      </c>
      <c r="B33" s="16" t="n">
        <v>232980</v>
      </c>
      <c r="C33" s="33" t="n">
        <v>1184</v>
      </c>
      <c r="D33" s="23" t="n">
        <v>196</v>
      </c>
      <c r="E33" s="16" t="n">
        <v>16394</v>
      </c>
      <c r="F33" s="32" t="s">
        <v>211</v>
      </c>
    </row>
    <row r="34" customFormat="false" ht="15" hidden="false" customHeight="true" outlineLevel="0" collapsed="false">
      <c r="A34" s="11" t="s">
        <v>206</v>
      </c>
      <c r="B34" s="34" t="n">
        <f aca="false">SUM(B22:B33)</f>
        <v>2647038</v>
      </c>
      <c r="C34" s="34" t="n">
        <f aca="false">B34/D34</f>
        <v>1207.03967168263</v>
      </c>
      <c r="D34" s="35" t="n">
        <f aca="false">SUM(D22:D33)</f>
        <v>2193</v>
      </c>
      <c r="E34" s="34" t="n">
        <f aca="false">SUM(E22:E33)</f>
        <v>175754</v>
      </c>
    </row>
    <row r="36" customFormat="false" ht="15" hidden="false" customHeight="true" outlineLevel="0" collapsed="false">
      <c r="A36" s="30" t="s">
        <v>99</v>
      </c>
      <c r="B36" s="30"/>
      <c r="C36" s="30"/>
      <c r="D36" s="30"/>
      <c r="E36" s="30"/>
      <c r="F36" s="30"/>
    </row>
    <row r="37" customFormat="false" ht="21.75" hidden="false" customHeight="true" outlineLevel="0" collapsed="false">
      <c r="A37" s="31" t="s">
        <v>18</v>
      </c>
      <c r="B37" s="31" t="s">
        <v>142</v>
      </c>
      <c r="C37" s="31" t="s">
        <v>43</v>
      </c>
      <c r="D37" s="31" t="s">
        <v>179</v>
      </c>
      <c r="E37" s="31" t="s">
        <v>180</v>
      </c>
      <c r="F37" s="31" t="s">
        <v>207</v>
      </c>
    </row>
    <row r="38" customFormat="false" ht="15" hidden="false" customHeight="true" outlineLevel="0" collapsed="false">
      <c r="A38" s="1" t="s">
        <v>182</v>
      </c>
      <c r="B38" s="16" t="n">
        <v>131120</v>
      </c>
      <c r="C38" s="16" t="n">
        <v>1050</v>
      </c>
      <c r="D38" s="23" t="n">
        <v>124</v>
      </c>
      <c r="E38" s="16" t="n">
        <v>5785</v>
      </c>
      <c r="F38" s="32" t="s">
        <v>212</v>
      </c>
    </row>
    <row r="39" customFormat="false" ht="15" hidden="false" customHeight="true" outlineLevel="0" collapsed="false">
      <c r="A39" s="1" t="s">
        <v>184</v>
      </c>
      <c r="B39" s="16" t="n">
        <v>128319</v>
      </c>
      <c r="C39" s="16" t="n">
        <v>1050</v>
      </c>
      <c r="D39" s="23" t="n">
        <v>122</v>
      </c>
      <c r="E39" s="16" t="n">
        <v>4581</v>
      </c>
      <c r="F39" s="32" t="s">
        <v>212</v>
      </c>
    </row>
    <row r="40" customFormat="false" ht="15" hidden="false" customHeight="true" outlineLevel="0" collapsed="false">
      <c r="A40" s="1" t="s">
        <v>186</v>
      </c>
      <c r="B40" s="16" t="n">
        <v>184164</v>
      </c>
      <c r="C40" s="16" t="n">
        <v>1050</v>
      </c>
      <c r="D40" s="23" t="n">
        <v>175</v>
      </c>
      <c r="E40" s="16" t="n">
        <v>7193</v>
      </c>
      <c r="F40" s="32" t="s">
        <v>212</v>
      </c>
    </row>
    <row r="41" customFormat="false" ht="15" hidden="false" customHeight="true" outlineLevel="0" collapsed="false">
      <c r="A41" s="1" t="s">
        <v>188</v>
      </c>
      <c r="B41" s="16" t="n">
        <v>187840</v>
      </c>
      <c r="C41" s="16" t="n">
        <v>1050</v>
      </c>
      <c r="D41" s="23" t="n">
        <v>178</v>
      </c>
      <c r="E41" s="16" t="n">
        <v>9286</v>
      </c>
      <c r="F41" s="32" t="s">
        <v>212</v>
      </c>
    </row>
    <row r="42" customFormat="false" ht="15" hidden="false" customHeight="true" outlineLevel="0" collapsed="false">
      <c r="A42" s="1" t="s">
        <v>190</v>
      </c>
      <c r="B42" s="16" t="n">
        <v>199569</v>
      </c>
      <c r="C42" s="16" t="n">
        <v>1119</v>
      </c>
      <c r="D42" s="23" t="n">
        <v>178</v>
      </c>
      <c r="E42" s="16" t="n">
        <v>7836</v>
      </c>
      <c r="F42" s="32" t="s">
        <v>213</v>
      </c>
    </row>
    <row r="43" customFormat="false" ht="15" hidden="false" customHeight="true" outlineLevel="0" collapsed="false">
      <c r="A43" s="1" t="s">
        <v>192</v>
      </c>
      <c r="B43" s="16" t="n">
        <v>201845</v>
      </c>
      <c r="C43" s="16" t="n">
        <v>1125</v>
      </c>
      <c r="D43" s="23" t="n">
        <v>179</v>
      </c>
      <c r="E43" s="16" t="n">
        <v>5306</v>
      </c>
      <c r="F43" s="32" t="s">
        <v>214</v>
      </c>
    </row>
    <row r="44" customFormat="false" ht="15" hidden="false" customHeight="true" outlineLevel="0" collapsed="false">
      <c r="A44" s="1" t="s">
        <v>194</v>
      </c>
      <c r="B44" s="16" t="n">
        <v>164732</v>
      </c>
      <c r="C44" s="16" t="n">
        <v>1022</v>
      </c>
      <c r="D44" s="23" t="n">
        <v>161</v>
      </c>
      <c r="E44" s="16" t="n">
        <v>4273</v>
      </c>
      <c r="F44" s="32" t="s">
        <v>215</v>
      </c>
    </row>
    <row r="45" customFormat="false" ht="15" hidden="false" customHeight="true" outlineLevel="0" collapsed="false">
      <c r="A45" s="1" t="s">
        <v>196</v>
      </c>
      <c r="B45" s="16" t="n">
        <v>179087</v>
      </c>
      <c r="C45" s="16" t="n">
        <v>1050</v>
      </c>
      <c r="D45" s="23" t="n">
        <v>170</v>
      </c>
      <c r="E45" s="16" t="n">
        <v>5046</v>
      </c>
      <c r="F45" s="32" t="s">
        <v>212</v>
      </c>
    </row>
    <row r="46" customFormat="false" ht="15" hidden="false" customHeight="true" outlineLevel="0" collapsed="false">
      <c r="A46" s="1" t="s">
        <v>198</v>
      </c>
      <c r="B46" s="16" t="n">
        <v>178912</v>
      </c>
      <c r="C46" s="16" t="n">
        <v>1059</v>
      </c>
      <c r="D46" s="23" t="n">
        <v>168</v>
      </c>
      <c r="E46" s="16" t="n">
        <v>6612</v>
      </c>
      <c r="F46" s="32" t="s">
        <v>216</v>
      </c>
    </row>
    <row r="47" customFormat="false" ht="15" hidden="false" customHeight="true" outlineLevel="0" collapsed="false">
      <c r="A47" s="1" t="s">
        <v>200</v>
      </c>
      <c r="B47" s="16" t="n">
        <v>179612</v>
      </c>
      <c r="C47" s="16" t="n">
        <v>1001</v>
      </c>
      <c r="D47" s="23" t="n">
        <v>179</v>
      </c>
      <c r="E47" s="16" t="n">
        <v>9874</v>
      </c>
      <c r="F47" s="32" t="s">
        <v>217</v>
      </c>
    </row>
    <row r="48" customFormat="false" ht="15" hidden="false" customHeight="true" outlineLevel="0" collapsed="false">
      <c r="A48" s="1" t="s">
        <v>202</v>
      </c>
      <c r="B48" s="16" t="n">
        <v>185739</v>
      </c>
      <c r="C48" s="16" t="n">
        <v>1094</v>
      </c>
      <c r="D48" s="23" t="n">
        <v>169</v>
      </c>
      <c r="E48" s="16" t="n">
        <v>8650</v>
      </c>
      <c r="F48" s="32" t="s">
        <v>218</v>
      </c>
    </row>
    <row r="49" customFormat="false" ht="15" hidden="false" customHeight="true" outlineLevel="0" collapsed="false">
      <c r="A49" s="1" t="s">
        <v>204</v>
      </c>
      <c r="B49" s="16" t="n">
        <v>185389</v>
      </c>
      <c r="C49" s="33" t="n">
        <v>1264</v>
      </c>
      <c r="D49" s="23" t="n">
        <v>146</v>
      </c>
      <c r="E49" s="16" t="n">
        <v>7658</v>
      </c>
      <c r="F49" s="32" t="s">
        <v>219</v>
      </c>
    </row>
    <row r="50" customFormat="false" ht="15" hidden="false" customHeight="true" outlineLevel="0" collapsed="false">
      <c r="A50" s="11" t="s">
        <v>206</v>
      </c>
      <c r="B50" s="34" t="n">
        <f aca="false">SUM(B38:B49)</f>
        <v>2106328</v>
      </c>
      <c r="C50" s="34" t="n">
        <f aca="false">B50/D50</f>
        <v>1080.72242175475</v>
      </c>
      <c r="D50" s="35" t="n">
        <f aca="false">SUM(D38:D49)</f>
        <v>1949</v>
      </c>
      <c r="E50" s="34" t="n">
        <f aca="false">SUM(E38:E49)</f>
        <v>82100</v>
      </c>
    </row>
    <row r="52" customFormat="false" ht="15" hidden="false" customHeight="true" outlineLevel="0" collapsed="false">
      <c r="A52" s="30" t="s">
        <v>78</v>
      </c>
      <c r="B52" s="30"/>
      <c r="C52" s="30"/>
      <c r="D52" s="30"/>
      <c r="E52" s="30"/>
      <c r="F52" s="30"/>
    </row>
    <row r="53" customFormat="false" ht="21.75" hidden="false" customHeight="true" outlineLevel="0" collapsed="false">
      <c r="A53" s="31" t="s">
        <v>18</v>
      </c>
      <c r="B53" s="31" t="s">
        <v>142</v>
      </c>
      <c r="C53" s="31" t="s">
        <v>43</v>
      </c>
      <c r="D53" s="31" t="s">
        <v>179</v>
      </c>
      <c r="E53" s="31" t="s">
        <v>180</v>
      </c>
      <c r="F53" s="31" t="s">
        <v>181</v>
      </c>
    </row>
    <row r="54" customFormat="false" ht="15" hidden="false" customHeight="true" outlineLevel="0" collapsed="false">
      <c r="A54" s="1" t="s">
        <v>182</v>
      </c>
      <c r="B54" s="16" t="n">
        <v>233985</v>
      </c>
      <c r="C54" s="16" t="n">
        <v>1030</v>
      </c>
      <c r="D54" s="23" t="n">
        <v>227</v>
      </c>
      <c r="E54" s="16" t="n">
        <v>18076</v>
      </c>
      <c r="F54" s="32" t="s">
        <v>220</v>
      </c>
    </row>
    <row r="55" customFormat="false" ht="15" hidden="false" customHeight="true" outlineLevel="0" collapsed="false">
      <c r="A55" s="1" t="s">
        <v>184</v>
      </c>
      <c r="B55" s="16" t="n">
        <v>253763</v>
      </c>
      <c r="C55" s="16" t="n">
        <v>1009</v>
      </c>
      <c r="D55" s="23" t="n">
        <v>251</v>
      </c>
      <c r="E55" s="16" t="n">
        <v>12215</v>
      </c>
      <c r="F55" s="32" t="s">
        <v>221</v>
      </c>
    </row>
    <row r="56" customFormat="false" ht="15" hidden="false" customHeight="true" outlineLevel="0" collapsed="false">
      <c r="A56" s="1" t="s">
        <v>186</v>
      </c>
      <c r="B56" s="16" t="n">
        <v>379732</v>
      </c>
      <c r="C56" s="16" t="n">
        <v>1194</v>
      </c>
      <c r="D56" s="23" t="n">
        <v>317</v>
      </c>
      <c r="E56" s="16" t="n">
        <v>29379</v>
      </c>
      <c r="F56" s="32" t="s">
        <v>222</v>
      </c>
    </row>
    <row r="57" customFormat="false" ht="15" hidden="false" customHeight="true" outlineLevel="0" collapsed="false">
      <c r="A57" s="1" t="s">
        <v>188</v>
      </c>
      <c r="B57" s="16" t="n">
        <v>378515</v>
      </c>
      <c r="C57" s="16" t="n">
        <v>1162</v>
      </c>
      <c r="D57" s="23" t="n">
        <v>325</v>
      </c>
      <c r="E57" s="16" t="n">
        <v>29379</v>
      </c>
      <c r="F57" s="32" t="s">
        <v>223</v>
      </c>
    </row>
    <row r="58" customFormat="false" ht="15" hidden="false" customHeight="true" outlineLevel="0" collapsed="false">
      <c r="A58" s="1" t="s">
        <v>190</v>
      </c>
      <c r="B58" s="16" t="n">
        <v>361171</v>
      </c>
      <c r="C58" s="16" t="n">
        <v>1192</v>
      </c>
      <c r="D58" s="23" t="n">
        <v>302</v>
      </c>
      <c r="E58" s="16" t="n">
        <v>17125</v>
      </c>
      <c r="F58" s="32" t="s">
        <v>224</v>
      </c>
    </row>
    <row r="59" customFormat="false" ht="15" hidden="false" customHeight="true" outlineLevel="0" collapsed="false">
      <c r="A59" s="1" t="s">
        <v>192</v>
      </c>
      <c r="B59" s="16" t="n">
        <v>362693</v>
      </c>
      <c r="C59" s="16" t="n">
        <v>1186</v>
      </c>
      <c r="D59" s="23" t="n">
        <v>305</v>
      </c>
      <c r="E59" s="16" t="n">
        <v>11987</v>
      </c>
      <c r="F59" s="32" t="s">
        <v>225</v>
      </c>
    </row>
    <row r="60" customFormat="false" ht="15" hidden="false" customHeight="true" outlineLevel="0" collapsed="false">
      <c r="A60" s="1" t="s">
        <v>194</v>
      </c>
      <c r="B60" s="16" t="n">
        <v>254980</v>
      </c>
      <c r="C60" s="16" t="n">
        <v>1112</v>
      </c>
      <c r="D60" s="23" t="n">
        <v>229</v>
      </c>
      <c r="E60" s="16" t="n">
        <v>10960</v>
      </c>
      <c r="F60" s="32" t="s">
        <v>226</v>
      </c>
    </row>
    <row r="61" customFormat="false" ht="15" hidden="false" customHeight="true" outlineLevel="0" collapsed="false">
      <c r="A61" s="1" t="s">
        <v>196</v>
      </c>
      <c r="B61" s="16" t="n">
        <v>297274</v>
      </c>
      <c r="C61" s="16" t="n">
        <v>1130</v>
      </c>
      <c r="D61" s="23" t="n">
        <v>263</v>
      </c>
      <c r="E61" s="16" t="n">
        <v>17505</v>
      </c>
      <c r="F61" s="32" t="s">
        <v>227</v>
      </c>
    </row>
    <row r="62" customFormat="false" ht="15" hidden="false" customHeight="true" outlineLevel="0" collapsed="false">
      <c r="A62" s="1" t="s">
        <v>198</v>
      </c>
      <c r="B62" s="16" t="n">
        <v>267455</v>
      </c>
      <c r="C62" s="16" t="n">
        <v>1048</v>
      </c>
      <c r="D62" s="23" t="n">
        <v>255</v>
      </c>
      <c r="E62" s="16" t="n">
        <v>17981</v>
      </c>
      <c r="F62" s="32" t="s">
        <v>228</v>
      </c>
    </row>
    <row r="63" customFormat="false" ht="15" hidden="false" customHeight="true" outlineLevel="0" collapsed="false">
      <c r="A63" s="1" t="s">
        <v>200</v>
      </c>
      <c r="B63" s="16" t="n">
        <v>293927</v>
      </c>
      <c r="C63" s="16" t="n">
        <v>1135</v>
      </c>
      <c r="D63" s="23" t="n">
        <v>258</v>
      </c>
      <c r="E63" s="16" t="n">
        <v>22167</v>
      </c>
      <c r="F63" s="32" t="s">
        <v>229</v>
      </c>
    </row>
    <row r="64" customFormat="false" ht="15" hidden="false" customHeight="true" outlineLevel="0" collapsed="false">
      <c r="A64" s="1" t="s">
        <v>202</v>
      </c>
      <c r="B64" s="16" t="n">
        <v>302447</v>
      </c>
      <c r="C64" s="16" t="n">
        <v>1084</v>
      </c>
      <c r="D64" s="23" t="n">
        <v>278</v>
      </c>
      <c r="E64" s="16" t="n">
        <v>22395</v>
      </c>
      <c r="F64" s="32" t="s">
        <v>230</v>
      </c>
    </row>
    <row r="65" customFormat="false" ht="15" hidden="false" customHeight="true" outlineLevel="0" collapsed="false">
      <c r="A65" s="1" t="s">
        <v>204</v>
      </c>
      <c r="B65" s="16" t="n">
        <v>313705</v>
      </c>
      <c r="C65" s="33" t="n">
        <v>1269</v>
      </c>
      <c r="D65" s="23" t="n">
        <v>247</v>
      </c>
      <c r="E65" s="16" t="n">
        <v>21197</v>
      </c>
      <c r="F65" s="32" t="s">
        <v>231</v>
      </c>
    </row>
    <row r="66" customFormat="false" ht="15" hidden="false" customHeight="true" outlineLevel="0" collapsed="false">
      <c r="A66" s="11" t="s">
        <v>206</v>
      </c>
      <c r="B66" s="34" t="n">
        <f aca="false">SUM(B54:B65)</f>
        <v>3699647</v>
      </c>
      <c r="C66" s="34" t="n">
        <f aca="false">B66/D66</f>
        <v>1135.90635554191</v>
      </c>
      <c r="D66" s="35" t="n">
        <f aca="false">SUM(D54:D65)</f>
        <v>3257</v>
      </c>
      <c r="E66" s="34" t="n">
        <f aca="false">SUM(E54:E65)</f>
        <v>230366</v>
      </c>
    </row>
    <row r="68" customFormat="false" ht="15" hidden="false" customHeight="true" outlineLevel="0" collapsed="false">
      <c r="A68" s="30" t="s">
        <v>80</v>
      </c>
      <c r="B68" s="30"/>
      <c r="C68" s="30"/>
      <c r="D68" s="30"/>
      <c r="E68" s="30"/>
      <c r="F68" s="30"/>
    </row>
    <row r="69" customFormat="false" ht="21.75" hidden="false" customHeight="true" outlineLevel="0" collapsed="false">
      <c r="A69" s="31" t="s">
        <v>18</v>
      </c>
      <c r="B69" s="31" t="s">
        <v>142</v>
      </c>
      <c r="C69" s="31" t="s">
        <v>43</v>
      </c>
      <c r="D69" s="31" t="s">
        <v>179</v>
      </c>
      <c r="E69" s="31" t="s">
        <v>180</v>
      </c>
      <c r="F69" s="31" t="s">
        <v>232</v>
      </c>
    </row>
    <row r="70" customFormat="false" ht="15" hidden="false" customHeight="true" outlineLevel="0" collapsed="false">
      <c r="A70" s="1" t="s">
        <v>182</v>
      </c>
      <c r="B70" s="16" t="n">
        <v>160872</v>
      </c>
      <c r="C70" s="16" t="n">
        <v>1216</v>
      </c>
      <c r="D70" s="23" t="n">
        <v>132</v>
      </c>
      <c r="E70" s="16" t="n">
        <v>22369</v>
      </c>
      <c r="F70" s="32" t="s">
        <v>233</v>
      </c>
    </row>
    <row r="71" customFormat="false" ht="15" hidden="false" customHeight="true" outlineLevel="0" collapsed="false">
      <c r="A71" s="1" t="s">
        <v>184</v>
      </c>
      <c r="B71" s="16" t="n">
        <v>127742</v>
      </c>
      <c r="C71" s="16" t="n">
        <v>1602</v>
      </c>
      <c r="D71" s="23" t="n">
        <v>79</v>
      </c>
      <c r="E71" s="16" t="n">
        <v>15737</v>
      </c>
      <c r="F71" s="32" t="s">
        <v>234</v>
      </c>
    </row>
    <row r="72" customFormat="false" ht="15" hidden="false" customHeight="true" outlineLevel="0" collapsed="false">
      <c r="A72" s="1" t="s">
        <v>186</v>
      </c>
      <c r="B72" s="16" t="n">
        <v>157115</v>
      </c>
      <c r="C72" s="16" t="n">
        <v>1316</v>
      </c>
      <c r="D72" s="23" t="n">
        <v>119</v>
      </c>
      <c r="E72" s="16" t="n">
        <v>21077</v>
      </c>
      <c r="F72" s="32" t="s">
        <v>235</v>
      </c>
    </row>
    <row r="73" customFormat="false" ht="15" hidden="false" customHeight="true" outlineLevel="0" collapsed="false">
      <c r="A73" s="1" t="s">
        <v>188</v>
      </c>
      <c r="B73" s="16" t="n">
        <v>182732</v>
      </c>
      <c r="C73" s="16" t="n">
        <v>1600</v>
      </c>
      <c r="D73" s="23" t="n">
        <v>114</v>
      </c>
      <c r="E73" s="16" t="n">
        <v>27249</v>
      </c>
      <c r="F73" s="32" t="s">
        <v>236</v>
      </c>
    </row>
    <row r="74" customFormat="false" ht="15" hidden="false" customHeight="true" outlineLevel="0" collapsed="false">
      <c r="A74" s="1" t="s">
        <v>190</v>
      </c>
      <c r="B74" s="16" t="n">
        <v>181707</v>
      </c>
      <c r="C74" s="16" t="n">
        <v>1471</v>
      </c>
      <c r="D74" s="23" t="n">
        <v>123</v>
      </c>
      <c r="E74" s="16" t="n">
        <v>23988</v>
      </c>
      <c r="F74" s="32" t="s">
        <v>237</v>
      </c>
    </row>
    <row r="75" customFormat="false" ht="15" hidden="false" customHeight="true" outlineLevel="0" collapsed="false">
      <c r="A75" s="1" t="s">
        <v>192</v>
      </c>
      <c r="B75" s="16" t="n">
        <v>201688</v>
      </c>
      <c r="C75" s="16" t="n">
        <v>1407</v>
      </c>
      <c r="D75" s="23" t="n">
        <v>143</v>
      </c>
      <c r="E75" s="16" t="n">
        <v>17094</v>
      </c>
      <c r="F75" s="32" t="s">
        <v>238</v>
      </c>
    </row>
    <row r="76" customFormat="false" ht="15" hidden="false" customHeight="true" outlineLevel="0" collapsed="false">
      <c r="A76" s="1" t="s">
        <v>194</v>
      </c>
      <c r="B76" s="16" t="n">
        <v>183074</v>
      </c>
      <c r="C76" s="16" t="n">
        <v>1364</v>
      </c>
      <c r="D76" s="23" t="n">
        <v>134</v>
      </c>
      <c r="E76" s="16" t="n">
        <v>17116</v>
      </c>
      <c r="F76" s="32" t="s">
        <v>239</v>
      </c>
    </row>
    <row r="77" customFormat="false" ht="15" hidden="false" customHeight="true" outlineLevel="0" collapsed="false">
      <c r="A77" s="1" t="s">
        <v>196</v>
      </c>
      <c r="B77" s="16" t="n">
        <v>167533</v>
      </c>
      <c r="C77" s="16" t="n">
        <v>1338</v>
      </c>
      <c r="D77" s="23" t="n">
        <v>125</v>
      </c>
      <c r="E77" s="16" t="n">
        <v>14642</v>
      </c>
      <c r="F77" s="32" t="s">
        <v>240</v>
      </c>
    </row>
    <row r="78" customFormat="false" ht="15" hidden="false" customHeight="true" outlineLevel="0" collapsed="false">
      <c r="A78" s="1" t="s">
        <v>198</v>
      </c>
      <c r="B78" s="16" t="n">
        <v>172656</v>
      </c>
      <c r="C78" s="16" t="n">
        <v>1388</v>
      </c>
      <c r="D78" s="23" t="n">
        <v>124</v>
      </c>
      <c r="E78" s="16" t="n">
        <v>22938</v>
      </c>
      <c r="F78" s="32" t="s">
        <v>241</v>
      </c>
    </row>
    <row r="79" customFormat="false" ht="15" hidden="false" customHeight="true" outlineLevel="0" collapsed="false">
      <c r="A79" s="1" t="s">
        <v>200</v>
      </c>
      <c r="B79" s="16" t="n">
        <v>171461</v>
      </c>
      <c r="C79" s="16" t="n">
        <v>1206</v>
      </c>
      <c r="D79" s="23" t="n">
        <v>142</v>
      </c>
      <c r="E79" s="16" t="n">
        <v>30883</v>
      </c>
      <c r="F79" s="32" t="s">
        <v>242</v>
      </c>
    </row>
    <row r="80" customFormat="false" ht="15" hidden="false" customHeight="true" outlineLevel="0" collapsed="false">
      <c r="A80" s="1" t="s">
        <v>202</v>
      </c>
      <c r="B80" s="16" t="n">
        <v>167362</v>
      </c>
      <c r="C80" s="16" t="n">
        <v>1140</v>
      </c>
      <c r="D80" s="23" t="n">
        <v>146</v>
      </c>
      <c r="E80" s="16" t="n">
        <v>25455</v>
      </c>
      <c r="F80" s="32" t="s">
        <v>243</v>
      </c>
    </row>
    <row r="81" customFormat="false" ht="15" hidden="false" customHeight="true" outlineLevel="0" collapsed="false">
      <c r="A81" s="1" t="s">
        <v>204</v>
      </c>
      <c r="B81" s="16" t="n">
        <v>175218</v>
      </c>
      <c r="C81" s="33" t="n">
        <v>1214</v>
      </c>
      <c r="D81" s="23" t="n">
        <v>144</v>
      </c>
      <c r="E81" s="16" t="n">
        <v>24098</v>
      </c>
      <c r="F81" s="32" t="s">
        <v>244</v>
      </c>
    </row>
    <row r="82" customFormat="false" ht="15" hidden="false" customHeight="true" outlineLevel="0" collapsed="false">
      <c r="A82" s="11" t="s">
        <v>206</v>
      </c>
      <c r="B82" s="34" t="n">
        <f aca="false">SUM(B70:B81)</f>
        <v>2049160</v>
      </c>
      <c r="C82" s="34" t="n">
        <f aca="false">B82/D82</f>
        <v>1343.71147540984</v>
      </c>
      <c r="D82" s="35" t="n">
        <f aca="false">SUM(D70:D81)</f>
        <v>1525</v>
      </c>
      <c r="E82" s="34" t="n">
        <f aca="false">SUM(E70:E81)</f>
        <v>262646</v>
      </c>
    </row>
    <row r="84" customFormat="false" ht="15" hidden="false" customHeight="true" outlineLevel="0" collapsed="false">
      <c r="A84" s="30" t="s">
        <v>70</v>
      </c>
      <c r="B84" s="30"/>
      <c r="C84" s="30"/>
      <c r="D84" s="30"/>
      <c r="E84" s="30"/>
      <c r="F84" s="30"/>
    </row>
    <row r="85" customFormat="false" ht="21.75" hidden="false" customHeight="true" outlineLevel="0" collapsed="false">
      <c r="A85" s="31" t="s">
        <v>18</v>
      </c>
      <c r="B85" s="31" t="s">
        <v>142</v>
      </c>
      <c r="C85" s="31" t="s">
        <v>43</v>
      </c>
      <c r="D85" s="31" t="s">
        <v>179</v>
      </c>
      <c r="E85" s="31" t="s">
        <v>180</v>
      </c>
      <c r="F85" s="31" t="s">
        <v>181</v>
      </c>
    </row>
    <row r="86" customFormat="false" ht="15" hidden="false" customHeight="true" outlineLevel="0" collapsed="false">
      <c r="A86" s="1" t="s">
        <v>182</v>
      </c>
      <c r="B86" s="16" t="n">
        <v>243947</v>
      </c>
      <c r="C86" s="16" t="n">
        <v>1253</v>
      </c>
      <c r="D86" s="23" t="n">
        <v>194</v>
      </c>
      <c r="E86" s="16" t="n">
        <v>22246</v>
      </c>
      <c r="F86" s="32" t="s">
        <v>245</v>
      </c>
    </row>
    <row r="87" customFormat="false" ht="15" hidden="false" customHeight="true" outlineLevel="0" collapsed="false">
      <c r="A87" s="1" t="s">
        <v>184</v>
      </c>
      <c r="B87" s="16" t="n">
        <v>239364</v>
      </c>
      <c r="C87" s="16" t="n">
        <v>1090</v>
      </c>
      <c r="D87" s="23" t="n">
        <v>219</v>
      </c>
      <c r="E87" s="16" t="n">
        <v>17124</v>
      </c>
      <c r="F87" s="32" t="s">
        <v>246</v>
      </c>
    </row>
    <row r="88" customFormat="false" ht="15" hidden="false" customHeight="true" outlineLevel="0" collapsed="false">
      <c r="A88" s="1" t="s">
        <v>186</v>
      </c>
      <c r="B88" s="16" t="n">
        <v>383547</v>
      </c>
      <c r="C88" s="16" t="n">
        <v>1177</v>
      </c>
      <c r="D88" s="23" t="n">
        <v>325</v>
      </c>
      <c r="E88" s="16" t="n">
        <v>32584</v>
      </c>
      <c r="F88" s="32" t="s">
        <v>247</v>
      </c>
    </row>
    <row r="89" customFormat="false" ht="15" hidden="false" customHeight="true" outlineLevel="0" collapsed="false">
      <c r="A89" s="1" t="s">
        <v>188</v>
      </c>
      <c r="B89" s="16" t="n">
        <v>362748</v>
      </c>
      <c r="C89" s="16" t="n">
        <v>1351</v>
      </c>
      <c r="D89" s="23" t="n">
        <v>268</v>
      </c>
      <c r="E89" s="16" t="n">
        <v>37831</v>
      </c>
      <c r="F89" s="32" t="s">
        <v>248</v>
      </c>
    </row>
    <row r="90" customFormat="false" ht="15" hidden="false" customHeight="true" outlineLevel="0" collapsed="false">
      <c r="A90" s="1" t="s">
        <v>190</v>
      </c>
      <c r="B90" s="16" t="n">
        <v>405756</v>
      </c>
      <c r="C90" s="16" t="n">
        <v>1186</v>
      </c>
      <c r="D90" s="23" t="n">
        <v>341</v>
      </c>
      <c r="E90" s="16" t="n">
        <v>40911</v>
      </c>
      <c r="F90" s="32" t="s">
        <v>249</v>
      </c>
    </row>
    <row r="91" customFormat="false" ht="15" hidden="false" customHeight="true" outlineLevel="0" collapsed="false">
      <c r="A91" s="1" t="s">
        <v>192</v>
      </c>
      <c r="B91" s="16" t="n">
        <v>393770</v>
      </c>
      <c r="C91" s="16" t="n">
        <v>1407</v>
      </c>
      <c r="D91" s="23" t="n">
        <v>279</v>
      </c>
      <c r="E91" s="16" t="n">
        <v>32521</v>
      </c>
      <c r="F91" s="32" t="s">
        <v>250</v>
      </c>
    </row>
    <row r="92" customFormat="false" ht="15" hidden="false" customHeight="true" outlineLevel="0" collapsed="false">
      <c r="A92" s="1" t="s">
        <v>194</v>
      </c>
      <c r="B92" s="16" t="n">
        <v>325733</v>
      </c>
      <c r="C92" s="16" t="n">
        <v>1266</v>
      </c>
      <c r="D92" s="23" t="n">
        <v>257</v>
      </c>
      <c r="E92" s="16" t="n">
        <v>19638</v>
      </c>
      <c r="F92" s="32" t="s">
        <v>251</v>
      </c>
    </row>
    <row r="93" customFormat="false" ht="15" hidden="false" customHeight="true" outlineLevel="0" collapsed="false">
      <c r="A93" s="1" t="s">
        <v>196</v>
      </c>
      <c r="B93" s="16" t="n">
        <v>370856</v>
      </c>
      <c r="C93" s="16" t="n">
        <v>1297</v>
      </c>
      <c r="D93" s="23" t="n">
        <v>285</v>
      </c>
      <c r="E93" s="16" t="n">
        <v>26488</v>
      </c>
      <c r="F93" s="32" t="s">
        <v>252</v>
      </c>
    </row>
    <row r="94" customFormat="false" ht="15" hidden="false" customHeight="true" outlineLevel="0" collapsed="false">
      <c r="A94" s="1" t="s">
        <v>198</v>
      </c>
      <c r="B94" s="16" t="n">
        <v>376144</v>
      </c>
      <c r="C94" s="16" t="n">
        <v>1395</v>
      </c>
      <c r="D94" s="23" t="n">
        <v>269</v>
      </c>
      <c r="E94" s="16" t="n">
        <v>31798</v>
      </c>
      <c r="F94" s="32" t="s">
        <v>253</v>
      </c>
    </row>
    <row r="95" customFormat="false" ht="15" hidden="false" customHeight="true" outlineLevel="0" collapsed="false">
      <c r="A95" s="1" t="s">
        <v>200</v>
      </c>
      <c r="B95" s="16" t="n">
        <v>352525</v>
      </c>
      <c r="C95" s="16" t="n">
        <v>1308</v>
      </c>
      <c r="D95" s="23" t="n">
        <v>269</v>
      </c>
      <c r="E95" s="16" t="n">
        <v>42042</v>
      </c>
      <c r="F95" s="32" t="s">
        <v>254</v>
      </c>
    </row>
    <row r="96" customFormat="false" ht="15" hidden="false" customHeight="true" outlineLevel="0" collapsed="false">
      <c r="A96" s="1" t="s">
        <v>202</v>
      </c>
      <c r="B96" s="16" t="n">
        <v>386367</v>
      </c>
      <c r="C96" s="16" t="n">
        <v>1382</v>
      </c>
      <c r="D96" s="23" t="n">
        <v>279</v>
      </c>
      <c r="E96" s="16" t="n">
        <v>34061</v>
      </c>
      <c r="F96" s="32" t="s">
        <v>255</v>
      </c>
    </row>
    <row r="97" customFormat="false" ht="15" hidden="false" customHeight="true" outlineLevel="0" collapsed="false">
      <c r="A97" s="1" t="s">
        <v>204</v>
      </c>
      <c r="B97" s="16" t="n">
        <v>389540</v>
      </c>
      <c r="C97" s="33" t="n">
        <v>1478</v>
      </c>
      <c r="D97" s="23" t="n">
        <v>263</v>
      </c>
      <c r="E97" s="16" t="n">
        <v>39811</v>
      </c>
      <c r="F97" s="32" t="s">
        <v>256</v>
      </c>
    </row>
    <row r="98" customFormat="false" ht="15" hidden="false" customHeight="true" outlineLevel="0" collapsed="false">
      <c r="A98" s="11" t="s">
        <v>206</v>
      </c>
      <c r="B98" s="34" t="n">
        <f aca="false">SUM(B86:B97)</f>
        <v>4230297</v>
      </c>
      <c r="C98" s="34" t="n">
        <f aca="false">B98/D98</f>
        <v>1302.43134236453</v>
      </c>
      <c r="D98" s="35" t="n">
        <f aca="false">SUM(D86:D97)</f>
        <v>3248</v>
      </c>
      <c r="E98" s="34" t="n">
        <f aca="false">SUM(E86:E97)</f>
        <v>377055</v>
      </c>
    </row>
    <row r="100" customFormat="false" ht="15" hidden="false" customHeight="true" outlineLevel="0" collapsed="false">
      <c r="A100" s="30" t="s">
        <v>76</v>
      </c>
      <c r="B100" s="30"/>
      <c r="C100" s="30"/>
      <c r="D100" s="30"/>
      <c r="E100" s="30"/>
      <c r="F100" s="30"/>
    </row>
    <row r="101" customFormat="false" ht="21.75" hidden="false" customHeight="true" outlineLevel="0" collapsed="false">
      <c r="A101" s="31" t="s">
        <v>18</v>
      </c>
      <c r="B101" s="31" t="s">
        <v>142</v>
      </c>
      <c r="C101" s="31" t="s">
        <v>43</v>
      </c>
      <c r="D101" s="31" t="s">
        <v>179</v>
      </c>
      <c r="E101" s="31" t="s">
        <v>180</v>
      </c>
      <c r="F101" s="31" t="s">
        <v>181</v>
      </c>
    </row>
    <row r="102" customFormat="false" ht="15" hidden="false" customHeight="true" outlineLevel="0" collapsed="false">
      <c r="A102" s="1" t="s">
        <v>182</v>
      </c>
      <c r="B102" s="16" t="n">
        <v>192799</v>
      </c>
      <c r="C102" s="16" t="n">
        <v>1270</v>
      </c>
      <c r="D102" s="23" t="n">
        <v>151</v>
      </c>
      <c r="E102" s="16" t="n">
        <v>15913</v>
      </c>
      <c r="F102" s="32" t="s">
        <v>257</v>
      </c>
    </row>
    <row r="103" customFormat="false" ht="15" hidden="false" customHeight="true" outlineLevel="0" collapsed="false">
      <c r="A103" s="1" t="s">
        <v>184</v>
      </c>
      <c r="B103" s="16" t="n">
        <v>192502</v>
      </c>
      <c r="C103" s="16" t="n">
        <v>1045</v>
      </c>
      <c r="D103" s="23" t="n">
        <v>184</v>
      </c>
      <c r="E103" s="16" t="n">
        <v>17327</v>
      </c>
      <c r="F103" s="32" t="s">
        <v>258</v>
      </c>
    </row>
    <row r="104" customFormat="false" ht="15" hidden="false" customHeight="true" outlineLevel="0" collapsed="false">
      <c r="A104" s="1" t="s">
        <v>186</v>
      </c>
      <c r="B104" s="16" t="n">
        <v>265582</v>
      </c>
      <c r="C104" s="16" t="n">
        <v>1081</v>
      </c>
      <c r="D104" s="23" t="n">
        <v>245</v>
      </c>
      <c r="E104" s="16" t="n">
        <v>22579</v>
      </c>
      <c r="F104" s="32" t="s">
        <v>259</v>
      </c>
    </row>
    <row r="105" customFormat="false" ht="15" hidden="false" customHeight="true" outlineLevel="0" collapsed="false">
      <c r="A105" s="1" t="s">
        <v>188</v>
      </c>
      <c r="B105" s="16" t="n">
        <v>278950</v>
      </c>
      <c r="C105" s="16" t="n">
        <v>1204</v>
      </c>
      <c r="D105" s="23" t="n">
        <v>231</v>
      </c>
      <c r="E105" s="16" t="n">
        <v>34968</v>
      </c>
      <c r="F105" s="32" t="s">
        <v>185</v>
      </c>
    </row>
    <row r="106" customFormat="false" ht="15" hidden="false" customHeight="true" outlineLevel="0" collapsed="false">
      <c r="A106" s="1" t="s">
        <v>190</v>
      </c>
      <c r="B106" s="16" t="n">
        <v>332720</v>
      </c>
      <c r="C106" s="16" t="n">
        <v>1283</v>
      </c>
      <c r="D106" s="23" t="n">
        <v>259</v>
      </c>
      <c r="E106" s="16" t="n">
        <v>25653</v>
      </c>
      <c r="F106" s="32" t="s">
        <v>260</v>
      </c>
    </row>
    <row r="107" customFormat="false" ht="15" hidden="false" customHeight="true" outlineLevel="0" collapsed="false">
      <c r="A107" s="1" t="s">
        <v>192</v>
      </c>
      <c r="B107" s="16" t="n">
        <v>319055</v>
      </c>
      <c r="C107" s="16" t="n">
        <v>1253</v>
      </c>
      <c r="D107" s="23" t="n">
        <v>254</v>
      </c>
      <c r="E107" s="16" t="n">
        <v>12905</v>
      </c>
      <c r="F107" s="32" t="s">
        <v>261</v>
      </c>
    </row>
    <row r="108" customFormat="false" ht="15" hidden="false" customHeight="true" outlineLevel="0" collapsed="false">
      <c r="A108" s="1" t="s">
        <v>194</v>
      </c>
      <c r="B108" s="16" t="n">
        <v>297369</v>
      </c>
      <c r="C108" s="16" t="n">
        <v>1348</v>
      </c>
      <c r="D108" s="23" t="n">
        <v>220</v>
      </c>
      <c r="E108" s="16" t="n">
        <v>9651</v>
      </c>
      <c r="F108" s="32" t="s">
        <v>262</v>
      </c>
    </row>
    <row r="109" customFormat="false" ht="15" hidden="false" customHeight="true" outlineLevel="0" collapsed="false">
      <c r="A109" s="1" t="s">
        <v>196</v>
      </c>
      <c r="B109" s="16" t="n">
        <v>343712</v>
      </c>
      <c r="C109" s="16" t="n">
        <v>1329</v>
      </c>
      <c r="D109" s="23" t="n">
        <v>258</v>
      </c>
      <c r="E109" s="16" t="n">
        <v>13691</v>
      </c>
      <c r="F109" s="32" t="s">
        <v>263</v>
      </c>
    </row>
    <row r="110" customFormat="false" ht="15" hidden="false" customHeight="true" outlineLevel="0" collapsed="false">
      <c r="A110" s="1" t="s">
        <v>198</v>
      </c>
      <c r="B110" s="16" t="n">
        <v>343415</v>
      </c>
      <c r="C110" s="16" t="n">
        <v>1350</v>
      </c>
      <c r="D110" s="23" t="n">
        <v>254</v>
      </c>
      <c r="E110" s="16" t="n">
        <v>24172</v>
      </c>
      <c r="F110" s="32" t="s">
        <v>264</v>
      </c>
    </row>
    <row r="111" customFormat="false" ht="15" hidden="false" customHeight="true" outlineLevel="0" collapsed="false">
      <c r="A111" s="1" t="s">
        <v>200</v>
      </c>
      <c r="B111" s="16" t="n">
        <v>335988</v>
      </c>
      <c r="C111" s="16" t="n">
        <v>1449</v>
      </c>
      <c r="D111" s="23" t="n">
        <v>231</v>
      </c>
      <c r="E111" s="16" t="n">
        <v>35170</v>
      </c>
      <c r="F111" s="32" t="s">
        <v>265</v>
      </c>
    </row>
    <row r="112" customFormat="false" ht="15" hidden="false" customHeight="true" outlineLevel="0" collapsed="false">
      <c r="A112" s="1" t="s">
        <v>202</v>
      </c>
      <c r="B112" s="16" t="n">
        <v>344603</v>
      </c>
      <c r="C112" s="16" t="n">
        <v>1741</v>
      </c>
      <c r="D112" s="23" t="n">
        <v>197</v>
      </c>
      <c r="E112" s="16" t="n">
        <v>33823</v>
      </c>
      <c r="F112" s="32" t="s">
        <v>266</v>
      </c>
    </row>
    <row r="113" customFormat="false" ht="15" hidden="false" customHeight="true" outlineLevel="0" collapsed="false">
      <c r="A113" s="1" t="s">
        <v>204</v>
      </c>
      <c r="B113" s="16" t="n">
        <v>318164</v>
      </c>
      <c r="C113" s="33" t="n">
        <v>1678</v>
      </c>
      <c r="D113" s="23" t="n">
        <v>189</v>
      </c>
      <c r="E113" s="16" t="n">
        <v>23791</v>
      </c>
      <c r="F113" s="32" t="s">
        <v>267</v>
      </c>
    </row>
    <row r="114" customFormat="false" ht="15" hidden="false" customHeight="true" outlineLevel="0" collapsed="false">
      <c r="A114" s="11" t="s">
        <v>206</v>
      </c>
      <c r="B114" s="34" t="n">
        <f aca="false">SUM(B102:B113)</f>
        <v>3564859</v>
      </c>
      <c r="C114" s="34" t="n">
        <f aca="false">B114/D114</f>
        <v>1333.65469509914</v>
      </c>
      <c r="D114" s="35" t="n">
        <f aca="false">SUM(D102:D113)</f>
        <v>2673</v>
      </c>
      <c r="E114" s="34" t="n">
        <f aca="false">SUM(E102:E113)</f>
        <v>269643</v>
      </c>
    </row>
    <row r="116" customFormat="false" ht="15" hidden="false" customHeight="true" outlineLevel="0" collapsed="false">
      <c r="A116" s="30" t="s">
        <v>103</v>
      </c>
      <c r="B116" s="30"/>
      <c r="C116" s="30"/>
      <c r="D116" s="30"/>
      <c r="E116" s="30"/>
      <c r="F116" s="30"/>
    </row>
    <row r="117" customFormat="false" ht="21.75" hidden="false" customHeight="true" outlineLevel="0" collapsed="false">
      <c r="A117" s="31" t="s">
        <v>18</v>
      </c>
      <c r="B117" s="31" t="s">
        <v>142</v>
      </c>
      <c r="C117" s="31" t="s">
        <v>43</v>
      </c>
      <c r="D117" s="31" t="s">
        <v>179</v>
      </c>
      <c r="E117" s="31" t="s">
        <v>180</v>
      </c>
      <c r="F117" s="31" t="s">
        <v>207</v>
      </c>
    </row>
    <row r="118" customFormat="false" ht="15" hidden="false" customHeight="true" outlineLevel="0" collapsed="false">
      <c r="A118" s="1" t="s">
        <v>182</v>
      </c>
      <c r="B118" s="16" t="n">
        <v>86295</v>
      </c>
      <c r="C118" s="16" t="n">
        <v>987</v>
      </c>
      <c r="D118" s="23" t="n">
        <v>87</v>
      </c>
      <c r="E118" s="16" t="n">
        <v>7080</v>
      </c>
      <c r="F118" s="32" t="s">
        <v>268</v>
      </c>
    </row>
    <row r="119" customFormat="false" ht="15" hidden="false" customHeight="true" outlineLevel="0" collapsed="false">
      <c r="A119" s="1" t="s">
        <v>184</v>
      </c>
      <c r="B119" s="16" t="n">
        <v>84452</v>
      </c>
      <c r="C119" s="16" t="n">
        <v>987</v>
      </c>
      <c r="D119" s="23" t="n">
        <v>85</v>
      </c>
      <c r="E119" s="16" t="n">
        <v>5607</v>
      </c>
      <c r="F119" s="32" t="s">
        <v>268</v>
      </c>
    </row>
    <row r="120" customFormat="false" ht="15" hidden="false" customHeight="true" outlineLevel="0" collapsed="false">
      <c r="A120" s="1" t="s">
        <v>186</v>
      </c>
      <c r="B120" s="16" t="n">
        <v>121206</v>
      </c>
      <c r="C120" s="16" t="n">
        <v>987</v>
      </c>
      <c r="D120" s="23" t="n">
        <v>122</v>
      </c>
      <c r="E120" s="16" t="n">
        <v>8804</v>
      </c>
      <c r="F120" s="32" t="s">
        <v>268</v>
      </c>
    </row>
    <row r="121" customFormat="false" ht="15" hidden="false" customHeight="true" outlineLevel="0" collapsed="false">
      <c r="A121" s="1" t="s">
        <v>188</v>
      </c>
      <c r="B121" s="16" t="n">
        <v>123625</v>
      </c>
      <c r="C121" s="16" t="n">
        <v>987</v>
      </c>
      <c r="D121" s="23" t="n">
        <v>125</v>
      </c>
      <c r="E121" s="16" t="n">
        <v>11365</v>
      </c>
      <c r="F121" s="32" t="s">
        <v>268</v>
      </c>
    </row>
    <row r="122" customFormat="false" ht="15" hidden="false" customHeight="true" outlineLevel="0" collapsed="false">
      <c r="A122" s="1" t="s">
        <v>190</v>
      </c>
      <c r="B122" s="16" t="n">
        <v>131345</v>
      </c>
      <c r="C122" s="16" t="n">
        <v>987</v>
      </c>
      <c r="D122" s="23" t="n">
        <v>133</v>
      </c>
      <c r="E122" s="16" t="n">
        <v>9591</v>
      </c>
      <c r="F122" s="32" t="s">
        <v>268</v>
      </c>
    </row>
    <row r="123" customFormat="false" ht="15" hidden="false" customHeight="true" outlineLevel="0" collapsed="false">
      <c r="A123" s="1" t="s">
        <v>192</v>
      </c>
      <c r="B123" s="16" t="n">
        <v>132842</v>
      </c>
      <c r="C123" s="16" t="n">
        <v>1000</v>
      </c>
      <c r="D123" s="23" t="n">
        <v>132</v>
      </c>
      <c r="E123" s="16" t="n">
        <v>6494</v>
      </c>
      <c r="F123" s="32" t="s">
        <v>269</v>
      </c>
    </row>
    <row r="124" customFormat="false" ht="15" hidden="false" customHeight="true" outlineLevel="0" collapsed="false">
      <c r="A124" s="1" t="s">
        <v>194</v>
      </c>
      <c r="B124" s="16" t="n">
        <v>108417</v>
      </c>
      <c r="C124" s="16" t="n">
        <v>1022</v>
      </c>
      <c r="D124" s="23" t="n">
        <v>106</v>
      </c>
      <c r="E124" s="16" t="n">
        <v>5230</v>
      </c>
      <c r="F124" s="32" t="s">
        <v>215</v>
      </c>
    </row>
    <row r="125" customFormat="false" ht="15" hidden="false" customHeight="true" outlineLevel="0" collapsed="false">
      <c r="A125" s="1" t="s">
        <v>196</v>
      </c>
      <c r="B125" s="16" t="n">
        <v>117864</v>
      </c>
      <c r="C125" s="16" t="n">
        <v>997</v>
      </c>
      <c r="D125" s="23" t="n">
        <v>118</v>
      </c>
      <c r="E125" s="16" t="n">
        <v>6176</v>
      </c>
      <c r="F125" s="32" t="s">
        <v>270</v>
      </c>
    </row>
    <row r="126" customFormat="false" ht="15" hidden="false" customHeight="true" outlineLevel="0" collapsed="false">
      <c r="A126" s="1" t="s">
        <v>198</v>
      </c>
      <c r="B126" s="16" t="n">
        <v>117749</v>
      </c>
      <c r="C126" s="16" t="n">
        <v>897</v>
      </c>
      <c r="D126" s="23" t="n">
        <v>131</v>
      </c>
      <c r="E126" s="16" t="n">
        <v>8093</v>
      </c>
      <c r="F126" s="32" t="s">
        <v>271</v>
      </c>
    </row>
    <row r="127" customFormat="false" ht="15" hidden="false" customHeight="true" outlineLevel="0" collapsed="false">
      <c r="A127" s="1" t="s">
        <v>200</v>
      </c>
      <c r="B127" s="16" t="n">
        <v>118210</v>
      </c>
      <c r="C127" s="16" t="n">
        <v>943</v>
      </c>
      <c r="D127" s="23" t="n">
        <v>125</v>
      </c>
      <c r="E127" s="16" t="n">
        <v>12085</v>
      </c>
      <c r="F127" s="32" t="s">
        <v>272</v>
      </c>
    </row>
    <row r="128" customFormat="false" ht="15" hidden="false" customHeight="true" outlineLevel="0" collapsed="false">
      <c r="A128" s="1" t="s">
        <v>202</v>
      </c>
      <c r="B128" s="16" t="n">
        <v>122243</v>
      </c>
      <c r="C128" s="16" t="n">
        <v>989</v>
      </c>
      <c r="D128" s="23" t="n">
        <v>123</v>
      </c>
      <c r="E128" s="16" t="n">
        <v>10587</v>
      </c>
      <c r="F128" s="32" t="s">
        <v>273</v>
      </c>
    </row>
    <row r="129" customFormat="false" ht="15" hidden="false" customHeight="true" outlineLevel="0" collapsed="false">
      <c r="A129" s="1" t="s">
        <v>204</v>
      </c>
      <c r="B129" s="16" t="n">
        <v>122012</v>
      </c>
      <c r="C129" s="33" t="n">
        <v>1033</v>
      </c>
      <c r="D129" s="23" t="n">
        <v>118</v>
      </c>
      <c r="E129" s="16" t="n">
        <v>9373</v>
      </c>
      <c r="F129" s="32" t="s">
        <v>274</v>
      </c>
    </row>
    <row r="130" customFormat="false" ht="15" hidden="false" customHeight="true" outlineLevel="0" collapsed="false">
      <c r="A130" s="11" t="s">
        <v>206</v>
      </c>
      <c r="B130" s="34" t="n">
        <f aca="false">SUM(B118:B129)</f>
        <v>1386260</v>
      </c>
      <c r="C130" s="34" t="n">
        <f aca="false">B130/D130</f>
        <v>986.661921708185</v>
      </c>
      <c r="D130" s="35" t="n">
        <f aca="false">SUM(D118:D129)</f>
        <v>1405</v>
      </c>
      <c r="E130" s="34" t="n">
        <f aca="false">SUM(E118:E129)</f>
        <v>100485</v>
      </c>
    </row>
    <row r="132" customFormat="false" ht="15" hidden="false" customHeight="true" outlineLevel="0" collapsed="false">
      <c r="A132" s="36" t="s">
        <v>107</v>
      </c>
      <c r="B132" s="36"/>
      <c r="C132" s="36"/>
      <c r="D132" s="36"/>
      <c r="E132" s="36"/>
      <c r="F132" s="36"/>
    </row>
    <row r="133" customFormat="false" ht="21.75" hidden="false" customHeight="true" outlineLevel="0" collapsed="false">
      <c r="A133" s="8" t="s">
        <v>18</v>
      </c>
      <c r="B133" s="8" t="s">
        <v>142</v>
      </c>
      <c r="C133" s="8" t="s">
        <v>43</v>
      </c>
      <c r="D133" s="8" t="s">
        <v>179</v>
      </c>
      <c r="E133" s="8" t="s">
        <v>180</v>
      </c>
      <c r="F133" s="8" t="s">
        <v>275</v>
      </c>
    </row>
    <row r="134" customFormat="false" ht="15" hidden="false" customHeight="true" outlineLevel="0" collapsed="false">
      <c r="A134" s="1" t="s">
        <v>182</v>
      </c>
      <c r="B134" s="23" t="n">
        <v>0</v>
      </c>
      <c r="C134" s="1" t="n">
        <v>0</v>
      </c>
      <c r="D134" s="1" t="n">
        <v>0</v>
      </c>
      <c r="E134" s="23" t="n">
        <v>0</v>
      </c>
    </row>
    <row r="135" customFormat="false" ht="15" hidden="false" customHeight="true" outlineLevel="0" collapsed="false">
      <c r="A135" s="1" t="s">
        <v>184</v>
      </c>
      <c r="B135" s="23" t="n">
        <v>0</v>
      </c>
      <c r="C135" s="1" t="n">
        <v>0</v>
      </c>
      <c r="D135" s="1" t="n">
        <v>0</v>
      </c>
      <c r="E135" s="23" t="n">
        <v>0</v>
      </c>
    </row>
    <row r="136" customFormat="false" ht="15" hidden="false" customHeight="true" outlineLevel="0" collapsed="false">
      <c r="A136" s="1" t="s">
        <v>186</v>
      </c>
      <c r="B136" s="23" t="n">
        <v>202521</v>
      </c>
      <c r="C136" s="1" t="n">
        <v>866</v>
      </c>
      <c r="D136" s="1" t="n">
        <v>234</v>
      </c>
      <c r="E136" s="23" t="n">
        <v>12798</v>
      </c>
      <c r="F136" s="1" t="s">
        <v>276</v>
      </c>
    </row>
    <row r="137" customFormat="false" ht="15" hidden="false" customHeight="true" outlineLevel="0" collapsed="false">
      <c r="A137" s="1" t="s">
        <v>188</v>
      </c>
      <c r="B137" s="23" t="n">
        <v>301251</v>
      </c>
      <c r="C137" s="1" t="n">
        <v>970</v>
      </c>
      <c r="D137" s="1" t="n">
        <v>310</v>
      </c>
      <c r="E137" s="23" t="n">
        <v>12798</v>
      </c>
      <c r="F137" s="1" t="s">
        <v>276</v>
      </c>
    </row>
    <row r="138" customFormat="false" ht="15" hidden="false" customHeight="true" outlineLevel="0" collapsed="false">
      <c r="A138" s="1" t="s">
        <v>190</v>
      </c>
      <c r="B138" s="23" t="n">
        <v>353493</v>
      </c>
      <c r="C138" s="1" t="n">
        <v>970</v>
      </c>
      <c r="D138" s="1" t="n">
        <v>364</v>
      </c>
      <c r="E138" s="23" t="n">
        <v>12798</v>
      </c>
      <c r="F138" s="1" t="s">
        <v>276</v>
      </c>
    </row>
    <row r="139" customFormat="false" ht="15" hidden="false" customHeight="true" outlineLevel="0" collapsed="false">
      <c r="A139" s="1" t="s">
        <v>192</v>
      </c>
      <c r="B139" s="23" t="n">
        <v>340374</v>
      </c>
      <c r="C139" s="1" t="n">
        <v>970</v>
      </c>
      <c r="D139" s="1" t="n">
        <v>351</v>
      </c>
      <c r="E139" s="23" t="n">
        <v>12798</v>
      </c>
      <c r="F139" s="1" t="s">
        <v>276</v>
      </c>
    </row>
    <row r="140" customFormat="false" ht="15" hidden="false" customHeight="true" outlineLevel="0" collapsed="false">
      <c r="A140" s="1" t="s">
        <v>194</v>
      </c>
      <c r="B140" s="23" t="n">
        <v>254386</v>
      </c>
      <c r="C140" s="1" t="n">
        <v>970</v>
      </c>
      <c r="D140" s="1" t="n">
        <v>262</v>
      </c>
      <c r="E140" s="23" t="n">
        <v>12798</v>
      </c>
      <c r="F140" s="1" t="s">
        <v>276</v>
      </c>
    </row>
    <row r="141" customFormat="false" ht="15" hidden="false" customHeight="true" outlineLevel="0" collapsed="false">
      <c r="A141" s="1" t="s">
        <v>196</v>
      </c>
      <c r="B141" s="23" t="n">
        <v>203930</v>
      </c>
      <c r="C141" s="1" t="n">
        <v>970</v>
      </c>
      <c r="D141" s="1" t="n">
        <v>210</v>
      </c>
      <c r="E141" s="23" t="n">
        <v>12798</v>
      </c>
      <c r="F141" s="1" t="s">
        <v>276</v>
      </c>
    </row>
    <row r="142" customFormat="false" ht="15" hidden="false" customHeight="true" outlineLevel="0" collapsed="false">
      <c r="A142" s="1" t="s">
        <v>198</v>
      </c>
      <c r="B142" s="23" t="n">
        <v>270312</v>
      </c>
      <c r="C142" s="1" t="n">
        <v>970</v>
      </c>
      <c r="D142" s="1" t="n">
        <v>279</v>
      </c>
      <c r="E142" s="23" t="n">
        <v>12798</v>
      </c>
      <c r="F142" s="1" t="s">
        <v>276</v>
      </c>
    </row>
    <row r="143" customFormat="false" ht="15" hidden="false" customHeight="true" outlineLevel="0" collapsed="false">
      <c r="A143" s="1" t="s">
        <v>200</v>
      </c>
      <c r="B143" s="23" t="n">
        <v>256312</v>
      </c>
      <c r="C143" s="1" t="n">
        <v>970</v>
      </c>
      <c r="D143" s="1" t="n">
        <v>264</v>
      </c>
      <c r="E143" s="23" t="n">
        <v>12798</v>
      </c>
      <c r="F143" s="1" t="s">
        <v>276</v>
      </c>
    </row>
    <row r="144" customFormat="false" ht="15" hidden="false" customHeight="true" outlineLevel="0" collapsed="false">
      <c r="A144" s="1" t="s">
        <v>202</v>
      </c>
      <c r="B144" s="23" t="n">
        <v>315616</v>
      </c>
      <c r="C144" s="1" t="n">
        <v>970</v>
      </c>
      <c r="D144" s="1" t="n">
        <v>325</v>
      </c>
      <c r="E144" s="23" t="n">
        <v>12798</v>
      </c>
      <c r="F144" s="1" t="s">
        <v>276</v>
      </c>
    </row>
    <row r="145" customFormat="false" ht="15" hidden="false" customHeight="true" outlineLevel="0" collapsed="false">
      <c r="A145" s="1" t="s">
        <v>204</v>
      </c>
      <c r="B145" s="23" t="n">
        <v>286516</v>
      </c>
      <c r="C145" s="1" t="n">
        <v>970</v>
      </c>
      <c r="D145" s="1" t="n">
        <v>295</v>
      </c>
      <c r="E145" s="23" t="n">
        <v>12798</v>
      </c>
      <c r="F145" s="1" t="s">
        <v>276</v>
      </c>
    </row>
    <row r="146" customFormat="false" ht="15" hidden="false" customHeight="true" outlineLevel="0" collapsed="false">
      <c r="A146" s="8" t="s">
        <v>206</v>
      </c>
      <c r="B146" s="23" t="n">
        <v>2784711</v>
      </c>
      <c r="D146" s="1" t="n">
        <v>2894</v>
      </c>
      <c r="E146" s="23" t="n">
        <v>127980</v>
      </c>
    </row>
    <row r="148" customFormat="false" ht="15" hidden="false" customHeight="true" outlineLevel="0" collapsed="false">
      <c r="A148" s="15" t="s">
        <v>82</v>
      </c>
    </row>
    <row r="149" customFormat="false" ht="21.75" hidden="false" customHeight="true" outlineLevel="0" collapsed="false">
      <c r="A149" s="31" t="s">
        <v>18</v>
      </c>
      <c r="B149" s="31" t="s">
        <v>142</v>
      </c>
      <c r="C149" s="31" t="s">
        <v>43</v>
      </c>
      <c r="D149" s="31" t="s">
        <v>179</v>
      </c>
      <c r="E149" s="31" t="s">
        <v>180</v>
      </c>
      <c r="F149" s="31" t="s">
        <v>277</v>
      </c>
    </row>
    <row r="150" customFormat="false" ht="15" hidden="false" customHeight="true" outlineLevel="0" collapsed="false">
      <c r="A150" s="1" t="s">
        <v>182</v>
      </c>
      <c r="B150" s="16" t="n">
        <v>244078</v>
      </c>
      <c r="C150" s="16" t="n">
        <v>1036</v>
      </c>
      <c r="D150" s="23" t="n">
        <v>235</v>
      </c>
      <c r="E150" s="16" t="n">
        <v>35937</v>
      </c>
      <c r="F150" s="32" t="s">
        <v>278</v>
      </c>
    </row>
    <row r="151" customFormat="false" ht="15" hidden="false" customHeight="true" outlineLevel="0" collapsed="false">
      <c r="A151" s="1" t="s">
        <v>184</v>
      </c>
      <c r="B151" s="16" t="n">
        <v>267037</v>
      </c>
      <c r="C151" s="16" t="n">
        <v>1030</v>
      </c>
      <c r="D151" s="23" t="n">
        <v>259</v>
      </c>
      <c r="E151" s="16" t="n">
        <v>24363</v>
      </c>
      <c r="F151" s="32" t="s">
        <v>279</v>
      </c>
    </row>
    <row r="152" customFormat="false" ht="15" hidden="false" customHeight="true" outlineLevel="0" collapsed="false">
      <c r="A152" s="1" t="s">
        <v>186</v>
      </c>
      <c r="B152" s="16" t="n">
        <v>392432</v>
      </c>
      <c r="C152" s="16" t="n">
        <v>1118</v>
      </c>
      <c r="D152" s="23" t="n">
        <v>350</v>
      </c>
      <c r="E152" s="16" t="n">
        <v>45690</v>
      </c>
      <c r="F152" s="32" t="s">
        <v>280</v>
      </c>
    </row>
    <row r="153" customFormat="false" ht="15" hidden="false" customHeight="true" outlineLevel="0" collapsed="false">
      <c r="A153" s="1" t="s">
        <v>188</v>
      </c>
      <c r="B153" s="16" t="n">
        <v>383248</v>
      </c>
      <c r="C153" s="16" t="n">
        <v>1082</v>
      </c>
      <c r="D153" s="23" t="n">
        <v>353</v>
      </c>
      <c r="E153" s="16" t="n">
        <v>54001</v>
      </c>
      <c r="F153" s="32" t="s">
        <v>281</v>
      </c>
    </row>
    <row r="154" customFormat="false" ht="15" hidden="false" customHeight="true" outlineLevel="0" collapsed="false">
      <c r="A154" s="1" t="s">
        <v>190</v>
      </c>
      <c r="B154" s="16" t="n">
        <v>415391</v>
      </c>
      <c r="C154" s="16" t="n">
        <v>1107</v>
      </c>
      <c r="D154" s="23" t="n">
        <v>375</v>
      </c>
      <c r="E154" s="16" t="n">
        <v>39656</v>
      </c>
      <c r="F154" s="32" t="s">
        <v>282</v>
      </c>
    </row>
    <row r="155" customFormat="false" ht="15" hidden="false" customHeight="true" outlineLevel="0" collapsed="false">
      <c r="A155" s="1" t="s">
        <v>192</v>
      </c>
      <c r="B155" s="16" t="n">
        <v>424575</v>
      </c>
      <c r="C155" s="16" t="n">
        <v>1107</v>
      </c>
      <c r="D155" s="23" t="n">
        <v>383</v>
      </c>
      <c r="E155" s="16" t="n">
        <v>27095</v>
      </c>
      <c r="F155" s="32" t="s">
        <v>282</v>
      </c>
    </row>
    <row r="156" customFormat="false" ht="15" hidden="false" customHeight="true" outlineLevel="0" collapsed="false">
      <c r="A156" s="1" t="s">
        <v>194</v>
      </c>
      <c r="B156" s="16" t="n">
        <v>306598</v>
      </c>
      <c r="C156" s="16" t="n">
        <v>1097</v>
      </c>
      <c r="D156" s="23" t="n">
        <v>279</v>
      </c>
      <c r="E156" s="16" t="n">
        <v>25160</v>
      </c>
      <c r="F156" s="32" t="s">
        <v>283</v>
      </c>
    </row>
    <row r="157" customFormat="false" ht="15" hidden="false" customHeight="true" outlineLevel="0" collapsed="false">
      <c r="A157" s="1" t="s">
        <v>196</v>
      </c>
      <c r="B157" s="16" t="n">
        <v>334856</v>
      </c>
      <c r="C157" s="16" t="n">
        <v>1061</v>
      </c>
      <c r="D157" s="23" t="n">
        <v>315</v>
      </c>
      <c r="E157" s="16" t="n">
        <v>31573</v>
      </c>
      <c r="F157" s="32" t="s">
        <v>284</v>
      </c>
    </row>
    <row r="158" customFormat="false" ht="15" hidden="false" customHeight="true" outlineLevel="0" collapsed="false">
      <c r="A158" s="1" t="s">
        <v>198</v>
      </c>
      <c r="B158" s="16" t="n">
        <v>352517</v>
      </c>
      <c r="C158" s="16" t="n">
        <v>1046</v>
      </c>
      <c r="D158" s="23" t="n">
        <v>336</v>
      </c>
      <c r="E158" s="16" t="n">
        <v>27778</v>
      </c>
      <c r="F158" s="32" t="s">
        <v>285</v>
      </c>
    </row>
    <row r="159" customFormat="false" ht="15" hidden="false" customHeight="true" outlineLevel="0" collapsed="false">
      <c r="A159" s="1" t="s">
        <v>200</v>
      </c>
      <c r="B159" s="16" t="n">
        <v>362761</v>
      </c>
      <c r="C159" s="16" t="n">
        <v>1158</v>
      </c>
      <c r="D159" s="23" t="n">
        <v>313</v>
      </c>
      <c r="E159" s="16" t="n">
        <v>55329</v>
      </c>
      <c r="F159" s="32" t="s">
        <v>286</v>
      </c>
    </row>
    <row r="160" customFormat="false" ht="15" hidden="false" customHeight="true" outlineLevel="0" collapsed="false">
      <c r="A160" s="1" t="s">
        <v>202</v>
      </c>
      <c r="B160" s="16" t="n">
        <v>379716</v>
      </c>
      <c r="C160" s="16" t="n">
        <v>1149</v>
      </c>
      <c r="D160" s="23" t="n">
        <v>330</v>
      </c>
      <c r="E160" s="16" t="n">
        <v>49561</v>
      </c>
      <c r="F160" s="32" t="s">
        <v>287</v>
      </c>
    </row>
    <row r="161" customFormat="false" ht="15" hidden="false" customHeight="true" outlineLevel="0" collapsed="false">
      <c r="A161" s="1" t="s">
        <v>204</v>
      </c>
      <c r="B161" s="16" t="n">
        <v>375124</v>
      </c>
      <c r="C161" s="33" t="n">
        <v>1399</v>
      </c>
      <c r="D161" s="23" t="n">
        <v>268</v>
      </c>
      <c r="E161" s="16" t="n">
        <v>39884</v>
      </c>
      <c r="F161" s="32" t="s">
        <v>288</v>
      </c>
    </row>
    <row r="162" customFormat="false" ht="15" hidden="false" customHeight="true" outlineLevel="0" collapsed="false">
      <c r="A162" s="11" t="s">
        <v>206</v>
      </c>
      <c r="B162" s="34" t="n">
        <f aca="false">SUM(B134:B145)</f>
        <v>2784711</v>
      </c>
      <c r="C162" s="34" t="n">
        <f aca="false">B146/D146</f>
        <v>962.23600552868</v>
      </c>
      <c r="D162" s="35" t="n">
        <f aca="false">SUM(D134:D145)</f>
        <v>2894</v>
      </c>
      <c r="E162" s="34" t="n">
        <f aca="false">SUM(E134:E145)</f>
        <v>127980</v>
      </c>
    </row>
  </sheetData>
  <mergeCells count="11">
    <mergeCell ref="A1:F1"/>
    <mergeCell ref="A2:F2"/>
    <mergeCell ref="A4:F4"/>
    <mergeCell ref="A20:F20"/>
    <mergeCell ref="A36:F36"/>
    <mergeCell ref="A52:F52"/>
    <mergeCell ref="A68:F68"/>
    <mergeCell ref="A84:F84"/>
    <mergeCell ref="A100:F100"/>
    <mergeCell ref="A116:F116"/>
    <mergeCell ref="A132:F1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18"/>
    <col collapsed="false" customWidth="true" hidden="false" outlineLevel="0" max="3" min="3" style="1" width="14"/>
    <col collapsed="false" customWidth="true" hidden="false" outlineLevel="0" max="4" min="4" style="1" width="12"/>
    <col collapsed="false" customWidth="true" hidden="false" outlineLevel="0" max="5" min="5" style="1" width="18"/>
    <col collapsed="false" customWidth="true" hidden="false" outlineLevel="0" max="6" min="6" style="1" width="12"/>
    <col collapsed="false" customWidth="true" hidden="false" outlineLevel="0" max="7" min="7" style="1" width="25"/>
  </cols>
  <sheetData>
    <row r="1" customFormat="false" ht="15.75" hidden="false" customHeight="true" outlineLevel="0" collapsed="false">
      <c r="A1" s="24" t="s">
        <v>289</v>
      </c>
      <c r="B1" s="24"/>
      <c r="C1" s="24"/>
      <c r="D1" s="24"/>
      <c r="E1" s="24"/>
      <c r="F1" s="24"/>
      <c r="G1" s="24"/>
    </row>
    <row r="3" customFormat="false" ht="15" hidden="false" customHeight="true" outlineLevel="0" collapsed="false">
      <c r="A3" s="4" t="s">
        <v>290</v>
      </c>
      <c r="B3" s="4"/>
      <c r="C3" s="4"/>
      <c r="D3" s="4"/>
      <c r="E3" s="4"/>
      <c r="F3" s="4"/>
      <c r="G3" s="4"/>
    </row>
    <row r="5" customFormat="false" ht="27.75" hidden="false" customHeight="true" outlineLevel="0" collapsed="false">
      <c r="A5" s="25" t="s">
        <v>18</v>
      </c>
      <c r="B5" s="25" t="s">
        <v>142</v>
      </c>
      <c r="C5" s="25" t="s">
        <v>43</v>
      </c>
      <c r="D5" s="25" t="s">
        <v>179</v>
      </c>
      <c r="E5" s="25" t="s">
        <v>180</v>
      </c>
      <c r="F5" s="25" t="s">
        <v>291</v>
      </c>
      <c r="G5" s="25" t="s">
        <v>42</v>
      </c>
    </row>
    <row r="6" customFormat="false" ht="15" hidden="false" customHeight="true" outlineLevel="0" collapsed="false">
      <c r="A6" s="1" t="s">
        <v>22</v>
      </c>
      <c r="B6" s="16" t="n">
        <v>1592613</v>
      </c>
      <c r="C6" s="16" t="n">
        <v>1127</v>
      </c>
      <c r="D6" s="23" t="n">
        <v>1413</v>
      </c>
      <c r="E6" s="16" t="n">
        <v>174357</v>
      </c>
      <c r="F6" s="3" t="s">
        <v>292</v>
      </c>
      <c r="G6" s="1" t="s">
        <v>293</v>
      </c>
    </row>
    <row r="7" customFormat="false" ht="15" hidden="false" customHeight="true" outlineLevel="0" collapsed="false">
      <c r="A7" s="1" t="s">
        <v>24</v>
      </c>
      <c r="B7" s="16" t="n">
        <v>1608019</v>
      </c>
      <c r="C7" s="37" t="n">
        <v>1098</v>
      </c>
      <c r="D7" s="23" t="n">
        <v>1465</v>
      </c>
      <c r="E7" s="16" t="n">
        <v>126123</v>
      </c>
      <c r="F7" s="3" t="s">
        <v>294</v>
      </c>
      <c r="G7" s="1" t="s">
        <v>295</v>
      </c>
    </row>
    <row r="8" customFormat="false" ht="15" hidden="false" customHeight="true" outlineLevel="0" collapsed="false">
      <c r="A8" s="1" t="s">
        <v>296</v>
      </c>
      <c r="B8" s="16" t="n">
        <v>2546222</v>
      </c>
      <c r="C8" s="16" t="n">
        <v>1112</v>
      </c>
      <c r="D8" s="23" t="n">
        <v>2289</v>
      </c>
      <c r="E8" s="16" t="n">
        <v>237918</v>
      </c>
      <c r="F8" s="1" t="s">
        <v>297</v>
      </c>
      <c r="G8" s="1" t="s">
        <v>298</v>
      </c>
    </row>
    <row r="9" customFormat="false" ht="15" hidden="false" customHeight="true" outlineLevel="0" collapsed="false">
      <c r="A9" s="1" t="s">
        <v>299</v>
      </c>
      <c r="B9" s="16" t="n">
        <v>2635973</v>
      </c>
      <c r="C9" s="16" t="n">
        <v>1161</v>
      </c>
      <c r="D9" s="23" t="n">
        <v>2271</v>
      </c>
      <c r="E9" s="16" t="n">
        <v>266255</v>
      </c>
      <c r="F9" s="1" t="s">
        <v>300</v>
      </c>
      <c r="G9" s="1" t="s">
        <v>301</v>
      </c>
    </row>
    <row r="10" customFormat="false" ht="15" hidden="false" customHeight="true" outlineLevel="0" collapsed="false">
      <c r="A10" s="1" t="s">
        <v>190</v>
      </c>
      <c r="B10" s="16" t="n">
        <v>2766846</v>
      </c>
      <c r="C10" s="16" t="n">
        <v>1147</v>
      </c>
      <c r="D10" s="23" t="n">
        <v>2412</v>
      </c>
      <c r="E10" s="16" t="n">
        <v>210602</v>
      </c>
      <c r="F10" s="1" t="s">
        <v>302</v>
      </c>
      <c r="G10" s="1" t="s">
        <v>303</v>
      </c>
    </row>
    <row r="11" customFormat="false" ht="15" hidden="false" customHeight="true" outlineLevel="0" collapsed="false">
      <c r="A11" s="1" t="s">
        <v>304</v>
      </c>
      <c r="B11" s="16" t="n">
        <v>2760057</v>
      </c>
      <c r="C11" s="16" t="n">
        <v>1177</v>
      </c>
      <c r="D11" s="23" t="n">
        <v>2344</v>
      </c>
      <c r="E11" s="16" t="n">
        <v>159813</v>
      </c>
      <c r="F11" s="1" t="s">
        <v>305</v>
      </c>
      <c r="G11" s="1" t="s">
        <v>306</v>
      </c>
    </row>
    <row r="12" customFormat="false" ht="15" hidden="false" customHeight="true" outlineLevel="0" collapsed="false">
      <c r="A12" s="1" t="s">
        <v>26</v>
      </c>
      <c r="B12" s="16" t="n">
        <v>2221341</v>
      </c>
      <c r="C12" s="16" t="n">
        <v>1170</v>
      </c>
      <c r="D12" s="23" t="n">
        <v>1898</v>
      </c>
      <c r="E12" s="16" t="n">
        <v>129527</v>
      </c>
      <c r="F12" s="1" t="s">
        <v>307</v>
      </c>
      <c r="G12" s="1" t="s">
        <v>308</v>
      </c>
    </row>
    <row r="13" customFormat="false" ht="15" hidden="false" customHeight="true" outlineLevel="0" collapsed="false">
      <c r="A13" s="1" t="s">
        <v>309</v>
      </c>
      <c r="B13" s="16" t="n">
        <v>2371140</v>
      </c>
      <c r="C13" s="16" t="n">
        <v>1161</v>
      </c>
      <c r="D13" s="23" t="n">
        <v>2042</v>
      </c>
      <c r="E13" s="16" t="n">
        <v>165787</v>
      </c>
      <c r="F13" s="1" t="s">
        <v>300</v>
      </c>
      <c r="G13" s="1" t="s">
        <v>303</v>
      </c>
    </row>
    <row r="14" customFormat="false" ht="15" hidden="false" customHeight="true" outlineLevel="0" collapsed="false">
      <c r="A14" s="1" t="s">
        <v>310</v>
      </c>
      <c r="B14" s="16" t="n">
        <v>2415967</v>
      </c>
      <c r="C14" s="16" t="n">
        <v>1155</v>
      </c>
      <c r="D14" s="23" t="n">
        <v>2092</v>
      </c>
      <c r="E14" s="16" t="n">
        <v>189209</v>
      </c>
      <c r="F14" s="1" t="s">
        <v>300</v>
      </c>
      <c r="G14" s="1" t="s">
        <v>311</v>
      </c>
    </row>
    <row r="15" customFormat="false" ht="15" hidden="false" customHeight="true" outlineLevel="0" collapsed="false">
      <c r="A15" s="1" t="s">
        <v>312</v>
      </c>
      <c r="B15" s="16" t="n">
        <v>2479617</v>
      </c>
      <c r="C15" s="16" t="n">
        <v>1179</v>
      </c>
      <c r="D15" s="23" t="n">
        <v>2104</v>
      </c>
      <c r="E15" s="16" t="n">
        <v>282181</v>
      </c>
      <c r="F15" s="1" t="s">
        <v>305</v>
      </c>
      <c r="G15" s="1" t="s">
        <v>313</v>
      </c>
    </row>
    <row r="16" customFormat="false" ht="15" hidden="false" customHeight="true" outlineLevel="0" collapsed="false">
      <c r="A16" s="1" t="s">
        <v>28</v>
      </c>
      <c r="B16" s="16" t="n">
        <v>2617631</v>
      </c>
      <c r="C16" s="16" t="n">
        <v>1210</v>
      </c>
      <c r="D16" s="23" t="n">
        <v>2163</v>
      </c>
      <c r="E16" s="16" t="n">
        <v>259063</v>
      </c>
      <c r="F16" s="1" t="s">
        <v>314</v>
      </c>
      <c r="G16" s="1" t="s">
        <v>315</v>
      </c>
    </row>
    <row r="17" customFormat="false" ht="15" hidden="false" customHeight="true" outlineLevel="0" collapsed="false">
      <c r="A17" s="1" t="s">
        <v>30</v>
      </c>
      <c r="B17" s="16" t="n">
        <v>2590857</v>
      </c>
      <c r="C17" s="38" t="n">
        <v>1296</v>
      </c>
      <c r="D17" s="23" t="n">
        <v>1999</v>
      </c>
      <c r="E17" s="16" t="n">
        <v>230775</v>
      </c>
      <c r="F17" s="6" t="s">
        <v>316</v>
      </c>
      <c r="G17" s="1" t="s">
        <v>317</v>
      </c>
    </row>
    <row r="18" customFormat="false" ht="15" hidden="false" customHeight="true" outlineLevel="0" collapsed="false">
      <c r="A18" s="39" t="s">
        <v>206</v>
      </c>
      <c r="B18" s="27" t="n">
        <f aca="false">SUM(B6:B17)</f>
        <v>28606283</v>
      </c>
      <c r="C18" s="27" t="n">
        <f aca="false">B18/D18</f>
        <v>1167.98477053732</v>
      </c>
      <c r="D18" s="40" t="n">
        <v>24492</v>
      </c>
      <c r="E18" s="27" t="n">
        <v>2431610</v>
      </c>
    </row>
    <row r="20" customFormat="false" ht="15" hidden="false" customHeight="true" outlineLevel="0" collapsed="false">
      <c r="A20" s="6" t="s">
        <v>318</v>
      </c>
    </row>
    <row r="21" customFormat="false" ht="15" hidden="false" customHeight="true" outlineLevel="0" collapsed="false">
      <c r="A21" s="1" t="s">
        <v>319</v>
      </c>
      <c r="B21" s="6" t="s">
        <v>320</v>
      </c>
    </row>
    <row r="22" customFormat="false" ht="15" hidden="false" customHeight="true" outlineLevel="0" collapsed="false">
      <c r="A22" s="1" t="s">
        <v>321</v>
      </c>
      <c r="B22" s="3" t="s">
        <v>322</v>
      </c>
    </row>
    <row r="23" customFormat="false" ht="15" hidden="false" customHeight="true" outlineLevel="0" collapsed="false">
      <c r="A23" s="1" t="s">
        <v>323</v>
      </c>
      <c r="B23" s="8" t="s">
        <v>324</v>
      </c>
    </row>
    <row r="25" customFormat="false" ht="15" hidden="false" customHeight="true" outlineLevel="0" collapsed="false">
      <c r="A25" s="41" t="s">
        <v>325</v>
      </c>
      <c r="B25" s="41"/>
      <c r="C25" s="41"/>
      <c r="D25" s="41"/>
      <c r="E25" s="41"/>
      <c r="F25" s="41"/>
      <c r="G25" s="41"/>
    </row>
  </sheetData>
  <mergeCells count="3">
    <mergeCell ref="A1:G1"/>
    <mergeCell ref="A3:G3"/>
    <mergeCell ref="A25:G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6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12" min="2" style="1" width="11"/>
  </cols>
  <sheetData>
    <row r="1" customFormat="false" ht="15.75" hidden="false" customHeight="true" outlineLevel="0" collapsed="false">
      <c r="A1" s="42" t="s">
        <v>326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</row>
    <row r="2" customFormat="false" ht="15" hidden="false" customHeight="true" outlineLevel="0" collapsed="false">
      <c r="A2" s="29" t="s">
        <v>327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</row>
    <row r="4" customFormat="false" ht="15" hidden="false" customHeight="true" outlineLevel="0" collapsed="false">
      <c r="A4" s="30" t="s">
        <v>73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</row>
    <row r="5" customFormat="false" ht="20.25" hidden="false" customHeight="true" outlineLevel="0" collapsed="false">
      <c r="A5" s="43" t="s">
        <v>18</v>
      </c>
      <c r="B5" s="43" t="s">
        <v>142</v>
      </c>
      <c r="C5" s="43" t="s">
        <v>328</v>
      </c>
      <c r="D5" s="43" t="s">
        <v>329</v>
      </c>
      <c r="E5" s="43" t="s">
        <v>330</v>
      </c>
      <c r="F5" s="43" t="s">
        <v>331</v>
      </c>
      <c r="G5" s="43" t="s">
        <v>332</v>
      </c>
      <c r="H5" s="43" t="s">
        <v>333</v>
      </c>
      <c r="I5" s="43" t="s">
        <v>334</v>
      </c>
      <c r="J5" s="43" t="s">
        <v>335</v>
      </c>
      <c r="K5" s="43" t="s">
        <v>336</v>
      </c>
      <c r="L5" s="43" t="s">
        <v>337</v>
      </c>
    </row>
    <row r="6" customFormat="false" ht="15" hidden="false" customHeight="true" outlineLevel="0" collapsed="false">
      <c r="A6" s="1" t="s">
        <v>182</v>
      </c>
      <c r="B6" s="16" t="n">
        <v>134732</v>
      </c>
      <c r="C6" s="16" t="n">
        <v>34565</v>
      </c>
      <c r="D6" s="44" t="n">
        <v>169298</v>
      </c>
      <c r="E6" s="16" t="n">
        <v>70822</v>
      </c>
      <c r="F6" s="16" t="n">
        <v>32500</v>
      </c>
      <c r="G6" s="16" t="n">
        <v>1347</v>
      </c>
      <c r="H6" s="16" t="n">
        <v>17282</v>
      </c>
      <c r="I6" s="16" t="n">
        <v>5000</v>
      </c>
      <c r="J6" s="16" t="n">
        <v>3000</v>
      </c>
      <c r="K6" s="45" t="n">
        <v>129952</v>
      </c>
      <c r="L6" s="46" t="n">
        <v>39345</v>
      </c>
    </row>
    <row r="7" customFormat="false" ht="15" hidden="false" customHeight="true" outlineLevel="0" collapsed="false">
      <c r="A7" s="1" t="s">
        <v>184</v>
      </c>
      <c r="B7" s="16" t="n">
        <v>153576</v>
      </c>
      <c r="C7" s="16" t="n">
        <v>19358</v>
      </c>
      <c r="D7" s="44" t="n">
        <v>172935</v>
      </c>
      <c r="E7" s="16" t="n">
        <v>78724</v>
      </c>
      <c r="F7" s="16" t="n">
        <v>32500</v>
      </c>
      <c r="G7" s="16" t="n">
        <v>1535</v>
      </c>
      <c r="H7" s="16" t="n">
        <v>9679</v>
      </c>
      <c r="I7" s="16" t="n">
        <v>5000</v>
      </c>
      <c r="J7" s="16" t="n">
        <v>3000</v>
      </c>
      <c r="K7" s="45" t="n">
        <v>130439</v>
      </c>
      <c r="L7" s="46" t="n">
        <v>42496</v>
      </c>
    </row>
    <row r="8" customFormat="false" ht="15" hidden="false" customHeight="true" outlineLevel="0" collapsed="false">
      <c r="A8" s="1" t="s">
        <v>186</v>
      </c>
      <c r="B8" s="16" t="n">
        <v>228480</v>
      </c>
      <c r="C8" s="16" t="n">
        <v>42412</v>
      </c>
      <c r="D8" s="44" t="n">
        <v>270892</v>
      </c>
      <c r="E8" s="16" t="n">
        <v>118481</v>
      </c>
      <c r="F8" s="16" t="n">
        <v>32500</v>
      </c>
      <c r="G8" s="16" t="n">
        <v>2284</v>
      </c>
      <c r="H8" s="16" t="n">
        <v>21206</v>
      </c>
      <c r="I8" s="16" t="n">
        <v>5000</v>
      </c>
      <c r="J8" s="16" t="n">
        <v>3000</v>
      </c>
      <c r="K8" s="45" t="n">
        <v>182472</v>
      </c>
      <c r="L8" s="47" t="n">
        <v>88420</v>
      </c>
    </row>
    <row r="9" customFormat="false" ht="15" hidden="false" customHeight="true" outlineLevel="0" collapsed="false">
      <c r="A9" s="1" t="s">
        <v>188</v>
      </c>
      <c r="B9" s="16" t="n">
        <v>201000</v>
      </c>
      <c r="C9" s="16" t="n">
        <v>29496</v>
      </c>
      <c r="D9" s="44" t="n">
        <v>230496</v>
      </c>
      <c r="E9" s="16" t="n">
        <v>103449</v>
      </c>
      <c r="F9" s="16" t="n">
        <v>32500</v>
      </c>
      <c r="G9" s="16" t="n">
        <v>2010</v>
      </c>
      <c r="H9" s="16" t="n">
        <v>14748</v>
      </c>
      <c r="I9" s="16" t="n">
        <v>5000</v>
      </c>
      <c r="J9" s="16" t="n">
        <v>3000</v>
      </c>
      <c r="K9" s="45" t="n">
        <v>160707</v>
      </c>
      <c r="L9" s="47" t="n">
        <v>69788</v>
      </c>
    </row>
    <row r="10" customFormat="false" ht="15" hidden="false" customHeight="true" outlineLevel="0" collapsed="false">
      <c r="A10" s="1" t="s">
        <v>190</v>
      </c>
      <c r="B10" s="16" t="n">
        <v>134889</v>
      </c>
      <c r="C10" s="16" t="n">
        <v>16266</v>
      </c>
      <c r="D10" s="44" t="n">
        <v>151155</v>
      </c>
      <c r="E10" s="16" t="n">
        <v>69071</v>
      </c>
      <c r="F10" s="16" t="n">
        <v>32500</v>
      </c>
      <c r="G10" s="16" t="n">
        <v>1348</v>
      </c>
      <c r="H10" s="16" t="n">
        <v>8133</v>
      </c>
      <c r="I10" s="16" t="n">
        <v>5000</v>
      </c>
      <c r="J10" s="16" t="n">
        <v>3000</v>
      </c>
      <c r="K10" s="45" t="n">
        <v>119053</v>
      </c>
      <c r="L10" s="46" t="n">
        <v>32102</v>
      </c>
    </row>
    <row r="11" customFormat="false" ht="15" hidden="false" customHeight="true" outlineLevel="0" collapsed="false">
      <c r="A11" s="1" t="s">
        <v>192</v>
      </c>
      <c r="B11" s="16" t="n">
        <v>129550</v>
      </c>
      <c r="C11" s="16" t="n">
        <v>22251</v>
      </c>
      <c r="D11" s="44" t="n">
        <v>151802</v>
      </c>
      <c r="E11" s="16" t="n">
        <v>67000</v>
      </c>
      <c r="F11" s="16" t="n">
        <v>32500</v>
      </c>
      <c r="G11" s="16" t="n">
        <v>1295</v>
      </c>
      <c r="H11" s="16" t="n">
        <v>11125</v>
      </c>
      <c r="I11" s="16" t="n">
        <v>5000</v>
      </c>
      <c r="J11" s="16" t="n">
        <v>3000</v>
      </c>
      <c r="K11" s="45" t="n">
        <v>119921</v>
      </c>
      <c r="L11" s="46" t="n">
        <v>31880</v>
      </c>
    </row>
    <row r="12" customFormat="false" ht="15" hidden="false" customHeight="true" outlineLevel="0" collapsed="false">
      <c r="A12" s="1" t="s">
        <v>194</v>
      </c>
      <c r="B12" s="16" t="n">
        <v>119029</v>
      </c>
      <c r="C12" s="16" t="n">
        <v>15550</v>
      </c>
      <c r="D12" s="44" t="n">
        <v>134579</v>
      </c>
      <c r="E12" s="16" t="n">
        <v>61069</v>
      </c>
      <c r="F12" s="16" t="n">
        <v>32500</v>
      </c>
      <c r="G12" s="16" t="n">
        <v>1190</v>
      </c>
      <c r="H12" s="16" t="n">
        <v>7775</v>
      </c>
      <c r="I12" s="16" t="n">
        <v>5000</v>
      </c>
      <c r="J12" s="16" t="n">
        <v>3000</v>
      </c>
      <c r="K12" s="45" t="n">
        <v>110535</v>
      </c>
      <c r="L12" s="46" t="n">
        <v>24044</v>
      </c>
    </row>
    <row r="13" customFormat="false" ht="15" hidden="false" customHeight="true" outlineLevel="0" collapsed="false">
      <c r="A13" s="1" t="s">
        <v>196</v>
      </c>
      <c r="B13" s="16" t="n">
        <v>130964</v>
      </c>
      <c r="C13" s="16" t="n">
        <v>27062</v>
      </c>
      <c r="D13" s="44" t="n">
        <v>158026</v>
      </c>
      <c r="E13" s="16" t="n">
        <v>68188</v>
      </c>
      <c r="F13" s="16" t="n">
        <v>32500</v>
      </c>
      <c r="G13" s="16" t="n">
        <v>1309</v>
      </c>
      <c r="H13" s="16" t="n">
        <v>13531</v>
      </c>
      <c r="I13" s="16" t="n">
        <v>5000</v>
      </c>
      <c r="J13" s="16" t="n">
        <v>3000</v>
      </c>
      <c r="K13" s="45" t="n">
        <v>123529</v>
      </c>
      <c r="L13" s="46" t="n">
        <v>34497</v>
      </c>
    </row>
    <row r="14" customFormat="false" ht="15" hidden="false" customHeight="true" outlineLevel="0" collapsed="false">
      <c r="A14" s="1" t="s">
        <v>198</v>
      </c>
      <c r="B14" s="16" t="n">
        <v>111963</v>
      </c>
      <c r="C14" s="16" t="n">
        <v>22881</v>
      </c>
      <c r="D14" s="44" t="n">
        <v>134844</v>
      </c>
      <c r="E14" s="16" t="n">
        <v>58269</v>
      </c>
      <c r="F14" s="16" t="n">
        <v>32500</v>
      </c>
      <c r="G14" s="16" t="n">
        <v>1119</v>
      </c>
      <c r="H14" s="16" t="n">
        <v>11440</v>
      </c>
      <c r="I14" s="16" t="n">
        <v>5000</v>
      </c>
      <c r="J14" s="16" t="n">
        <v>3000</v>
      </c>
      <c r="K14" s="45" t="n">
        <v>111330</v>
      </c>
      <c r="L14" s="46" t="n">
        <v>23514</v>
      </c>
    </row>
    <row r="15" customFormat="false" ht="15" hidden="false" customHeight="true" outlineLevel="0" collapsed="false">
      <c r="A15" s="1" t="s">
        <v>200</v>
      </c>
      <c r="B15" s="16" t="n">
        <v>183098</v>
      </c>
      <c r="C15" s="16" t="n">
        <v>40693</v>
      </c>
      <c r="D15" s="44" t="n">
        <v>223792</v>
      </c>
      <c r="E15" s="16" t="n">
        <v>95618</v>
      </c>
      <c r="F15" s="16" t="n">
        <v>32500</v>
      </c>
      <c r="G15" s="16" t="n">
        <v>1830</v>
      </c>
      <c r="H15" s="16" t="n">
        <v>20346</v>
      </c>
      <c r="I15" s="16" t="n">
        <v>5000</v>
      </c>
      <c r="J15" s="16" t="n">
        <v>3000</v>
      </c>
      <c r="K15" s="45" t="n">
        <v>158296</v>
      </c>
      <c r="L15" s="47" t="n">
        <v>65495</v>
      </c>
    </row>
    <row r="16" customFormat="false" ht="15" hidden="false" customHeight="true" outlineLevel="0" collapsed="false">
      <c r="A16" s="1" t="s">
        <v>202</v>
      </c>
      <c r="B16" s="16" t="n">
        <v>180114</v>
      </c>
      <c r="C16" s="16" t="n">
        <v>43213</v>
      </c>
      <c r="D16" s="44" t="n">
        <v>223328</v>
      </c>
      <c r="E16" s="16" t="n">
        <v>94378</v>
      </c>
      <c r="F16" s="16" t="n">
        <v>32500</v>
      </c>
      <c r="G16" s="16" t="n">
        <v>1801</v>
      </c>
      <c r="H16" s="16" t="n">
        <v>21606</v>
      </c>
      <c r="I16" s="16" t="n">
        <v>5000</v>
      </c>
      <c r="J16" s="16" t="n">
        <v>3000</v>
      </c>
      <c r="K16" s="45" t="n">
        <v>158286</v>
      </c>
      <c r="L16" s="47" t="n">
        <v>65041</v>
      </c>
    </row>
    <row r="17" customFormat="false" ht="15" hidden="false" customHeight="true" outlineLevel="0" collapsed="false">
      <c r="A17" s="1" t="s">
        <v>204</v>
      </c>
      <c r="B17" s="16" t="n">
        <v>192206</v>
      </c>
      <c r="C17" s="16" t="n">
        <v>35768</v>
      </c>
      <c r="D17" s="44" t="n">
        <v>227974</v>
      </c>
      <c r="E17" s="16" t="n">
        <v>99679</v>
      </c>
      <c r="F17" s="16" t="n">
        <v>32500</v>
      </c>
      <c r="G17" s="16" t="n">
        <v>1922</v>
      </c>
      <c r="H17" s="16" t="n">
        <v>17884</v>
      </c>
      <c r="I17" s="16" t="n">
        <v>5000</v>
      </c>
      <c r="J17" s="16" t="n">
        <v>3000</v>
      </c>
      <c r="K17" s="45" t="n">
        <v>159986</v>
      </c>
      <c r="L17" s="47" t="n">
        <v>67988</v>
      </c>
    </row>
    <row r="18" customFormat="false" ht="15" hidden="false" customHeight="true" outlineLevel="0" collapsed="false">
      <c r="A18" s="8" t="s">
        <v>338</v>
      </c>
      <c r="B18" s="34" t="n">
        <f aca="false">SUM(B6:B17)</f>
        <v>1899601</v>
      </c>
      <c r="C18" s="34" t="n">
        <f aca="false">SUM(C6:C17)</f>
        <v>349515</v>
      </c>
      <c r="D18" s="34" t="n">
        <f aca="false">SUM(D6:D17)</f>
        <v>2249121</v>
      </c>
      <c r="E18" s="34" t="n">
        <f aca="false">SUM(E6:E17)</f>
        <v>984748</v>
      </c>
      <c r="F18" s="34" t="n">
        <f aca="false">SUM(F6:F17)</f>
        <v>390000</v>
      </c>
      <c r="G18" s="34" t="n">
        <f aca="false">SUM(G6:G17)</f>
        <v>18990</v>
      </c>
      <c r="H18" s="34" t="n">
        <f aca="false">SUM(H6:H17)</f>
        <v>174755</v>
      </c>
      <c r="I18" s="34" t="n">
        <f aca="false">SUM(I6:I17)</f>
        <v>60000</v>
      </c>
      <c r="J18" s="34" t="n">
        <f aca="false">SUM(J6:J17)</f>
        <v>36000</v>
      </c>
      <c r="K18" s="34" t="n">
        <f aca="false">SUM(K6:K17)</f>
        <v>1664506</v>
      </c>
      <c r="L18" s="34" t="n">
        <f aca="false">SUM(L6:L17)</f>
        <v>584610</v>
      </c>
    </row>
    <row r="20" customFormat="false" ht="15" hidden="false" customHeight="true" outlineLevel="0" collapsed="false">
      <c r="A20" s="30" t="s">
        <v>111</v>
      </c>
      <c r="B20" s="30"/>
      <c r="C20" s="30"/>
      <c r="D20" s="30"/>
      <c r="E20" s="30"/>
      <c r="F20" s="30"/>
      <c r="G20" s="30"/>
      <c r="H20" s="30"/>
      <c r="I20" s="30"/>
      <c r="J20" s="30"/>
      <c r="K20" s="30"/>
      <c r="L20" s="30"/>
    </row>
    <row r="21" customFormat="false" ht="20.25" hidden="false" customHeight="true" outlineLevel="0" collapsed="false">
      <c r="A21" s="43" t="s">
        <v>18</v>
      </c>
      <c r="B21" s="43" t="s">
        <v>142</v>
      </c>
      <c r="C21" s="43" t="s">
        <v>328</v>
      </c>
      <c r="D21" s="43" t="s">
        <v>329</v>
      </c>
      <c r="E21" s="43" t="s">
        <v>330</v>
      </c>
      <c r="F21" s="43" t="s">
        <v>331</v>
      </c>
      <c r="G21" s="43" t="s">
        <v>332</v>
      </c>
      <c r="H21" s="43" t="s">
        <v>333</v>
      </c>
      <c r="I21" s="43" t="s">
        <v>334</v>
      </c>
      <c r="J21" s="43" t="s">
        <v>335</v>
      </c>
      <c r="K21" s="43" t="s">
        <v>336</v>
      </c>
      <c r="L21" s="43" t="s">
        <v>337</v>
      </c>
    </row>
    <row r="22" customFormat="false" ht="15" hidden="false" customHeight="true" outlineLevel="0" collapsed="false">
      <c r="A22" s="1" t="s">
        <v>182</v>
      </c>
      <c r="B22" s="16" t="n">
        <v>164780</v>
      </c>
      <c r="C22" s="16" t="n">
        <v>12383</v>
      </c>
      <c r="D22" s="44" t="n">
        <v>177163</v>
      </c>
      <c r="E22" s="16" t="n">
        <v>83628</v>
      </c>
      <c r="F22" s="16" t="n">
        <v>41500</v>
      </c>
      <c r="G22" s="16" t="n">
        <v>1647</v>
      </c>
      <c r="H22" s="16" t="n">
        <v>6191</v>
      </c>
      <c r="I22" s="16" t="n">
        <v>5000</v>
      </c>
      <c r="J22" s="16" t="n">
        <v>3000</v>
      </c>
      <c r="K22" s="45" t="n">
        <v>140968</v>
      </c>
      <c r="L22" s="46" t="n">
        <v>36195</v>
      </c>
    </row>
    <row r="23" customFormat="false" ht="15" hidden="false" customHeight="true" outlineLevel="0" collapsed="false">
      <c r="A23" s="1" t="s">
        <v>184</v>
      </c>
      <c r="B23" s="16" t="n">
        <v>161260</v>
      </c>
      <c r="C23" s="16" t="n">
        <v>9807</v>
      </c>
      <c r="D23" s="44" t="n">
        <v>171067</v>
      </c>
      <c r="E23" s="16" t="n">
        <v>81610</v>
      </c>
      <c r="F23" s="16" t="n">
        <v>41500</v>
      </c>
      <c r="G23" s="16" t="n">
        <v>1612</v>
      </c>
      <c r="H23" s="16" t="n">
        <v>4903</v>
      </c>
      <c r="I23" s="16" t="n">
        <v>5000</v>
      </c>
      <c r="J23" s="16" t="n">
        <v>3000</v>
      </c>
      <c r="K23" s="45" t="n">
        <v>137627</v>
      </c>
      <c r="L23" s="46" t="n">
        <v>33440</v>
      </c>
    </row>
    <row r="24" customFormat="false" ht="15" hidden="false" customHeight="true" outlineLevel="0" collapsed="false">
      <c r="A24" s="1" t="s">
        <v>186</v>
      </c>
      <c r="B24" s="16" t="n">
        <v>231440</v>
      </c>
      <c r="C24" s="16" t="n">
        <v>15399</v>
      </c>
      <c r="D24" s="44" t="n">
        <v>246839</v>
      </c>
      <c r="E24" s="16" t="n">
        <v>117259</v>
      </c>
      <c r="F24" s="16" t="n">
        <v>41500</v>
      </c>
      <c r="G24" s="16" t="n">
        <v>2314</v>
      </c>
      <c r="H24" s="16" t="n">
        <v>7699</v>
      </c>
      <c r="I24" s="16" t="n">
        <v>5000</v>
      </c>
      <c r="J24" s="16" t="n">
        <v>3000</v>
      </c>
      <c r="K24" s="45" t="n">
        <v>176774</v>
      </c>
      <c r="L24" s="47" t="n">
        <v>70065</v>
      </c>
    </row>
    <row r="25" customFormat="false" ht="15" hidden="false" customHeight="true" outlineLevel="0" collapsed="false">
      <c r="A25" s="1" t="s">
        <v>188</v>
      </c>
      <c r="B25" s="16" t="n">
        <v>236060</v>
      </c>
      <c r="C25" s="16" t="n">
        <v>19878</v>
      </c>
      <c r="D25" s="44" t="n">
        <v>255938</v>
      </c>
      <c r="E25" s="16" t="n">
        <v>120017</v>
      </c>
      <c r="F25" s="16" t="n">
        <v>41500</v>
      </c>
      <c r="G25" s="16" t="n">
        <v>2360</v>
      </c>
      <c r="H25" s="16" t="n">
        <v>9939</v>
      </c>
      <c r="I25" s="16" t="n">
        <v>5000</v>
      </c>
      <c r="J25" s="16" t="n">
        <v>3000</v>
      </c>
      <c r="K25" s="45" t="n">
        <v>181817</v>
      </c>
      <c r="L25" s="47" t="n">
        <v>74120</v>
      </c>
    </row>
    <row r="26" customFormat="false" ht="15" hidden="false" customHeight="true" outlineLevel="0" collapsed="false">
      <c r="A26" s="1" t="s">
        <v>190</v>
      </c>
      <c r="B26" s="16" t="n">
        <v>250799</v>
      </c>
      <c r="C26" s="16" t="n">
        <v>16775</v>
      </c>
      <c r="D26" s="44" t="n">
        <v>267575</v>
      </c>
      <c r="E26" s="16" t="n">
        <v>127077</v>
      </c>
      <c r="F26" s="16" t="n">
        <v>41500</v>
      </c>
      <c r="G26" s="16" t="n">
        <v>2507</v>
      </c>
      <c r="H26" s="16" t="n">
        <v>8387</v>
      </c>
      <c r="I26" s="16" t="n">
        <v>5000</v>
      </c>
      <c r="J26" s="16" t="n">
        <v>3000</v>
      </c>
      <c r="K26" s="45" t="n">
        <v>187473</v>
      </c>
      <c r="L26" s="47" t="n">
        <v>80102</v>
      </c>
    </row>
    <row r="27" customFormat="false" ht="15" hidden="false" customHeight="true" outlineLevel="0" collapsed="false">
      <c r="A27" s="1" t="s">
        <v>192</v>
      </c>
      <c r="B27" s="16" t="n">
        <v>253660</v>
      </c>
      <c r="C27" s="16" t="n">
        <v>11359</v>
      </c>
      <c r="D27" s="44" t="n">
        <v>265019</v>
      </c>
      <c r="E27" s="16" t="n">
        <v>127965</v>
      </c>
      <c r="F27" s="16" t="n">
        <v>41500</v>
      </c>
      <c r="G27" s="16" t="n">
        <v>2536</v>
      </c>
      <c r="H27" s="16" t="n">
        <v>5679</v>
      </c>
      <c r="I27" s="16" t="n">
        <v>5000</v>
      </c>
      <c r="J27" s="16" t="n">
        <v>3000</v>
      </c>
      <c r="K27" s="45" t="n">
        <v>185682</v>
      </c>
      <c r="L27" s="47" t="n">
        <v>79337</v>
      </c>
    </row>
    <row r="28" customFormat="false" ht="15" hidden="false" customHeight="true" outlineLevel="0" collapsed="false">
      <c r="A28" s="1" t="s">
        <v>194</v>
      </c>
      <c r="B28" s="16" t="n">
        <v>207020</v>
      </c>
      <c r="C28" s="16" t="n">
        <v>9148</v>
      </c>
      <c r="D28" s="44" t="n">
        <v>216168</v>
      </c>
      <c r="E28" s="16" t="n">
        <v>104424</v>
      </c>
      <c r="F28" s="16" t="n">
        <v>41500</v>
      </c>
      <c r="G28" s="16" t="n">
        <v>2070</v>
      </c>
      <c r="H28" s="16" t="n">
        <v>4574</v>
      </c>
      <c r="I28" s="16" t="n">
        <v>5000</v>
      </c>
      <c r="J28" s="16" t="n">
        <v>3000</v>
      </c>
      <c r="K28" s="45" t="n">
        <v>160569</v>
      </c>
      <c r="L28" s="47" t="n">
        <v>55599</v>
      </c>
    </row>
    <row r="29" customFormat="false" ht="15" hidden="false" customHeight="true" outlineLevel="0" collapsed="false">
      <c r="A29" s="1" t="s">
        <v>196</v>
      </c>
      <c r="B29" s="16" t="n">
        <v>225059</v>
      </c>
      <c r="C29" s="16" t="n">
        <v>10802</v>
      </c>
      <c r="D29" s="44" t="n">
        <v>235862</v>
      </c>
      <c r="E29" s="16" t="n">
        <v>113610</v>
      </c>
      <c r="F29" s="16" t="n">
        <v>41500</v>
      </c>
      <c r="G29" s="16" t="n">
        <v>2250</v>
      </c>
      <c r="H29" s="16" t="n">
        <v>5401</v>
      </c>
      <c r="I29" s="16" t="n">
        <v>5000</v>
      </c>
      <c r="J29" s="16" t="n">
        <v>3000</v>
      </c>
      <c r="K29" s="45" t="n">
        <v>170762</v>
      </c>
      <c r="L29" s="47" t="n">
        <v>65100</v>
      </c>
    </row>
    <row r="30" customFormat="false" ht="15" hidden="false" customHeight="true" outlineLevel="0" collapsed="false">
      <c r="A30" s="1" t="s">
        <v>198</v>
      </c>
      <c r="B30" s="16" t="n">
        <v>224840</v>
      </c>
      <c r="C30" s="16" t="n">
        <v>14155</v>
      </c>
      <c r="D30" s="44" t="n">
        <v>238995</v>
      </c>
      <c r="E30" s="16" t="n">
        <v>113835</v>
      </c>
      <c r="F30" s="16" t="n">
        <v>41500</v>
      </c>
      <c r="G30" s="16" t="n">
        <v>2248</v>
      </c>
      <c r="H30" s="16" t="n">
        <v>7077</v>
      </c>
      <c r="I30" s="16" t="n">
        <v>5000</v>
      </c>
      <c r="J30" s="16" t="n">
        <v>3000</v>
      </c>
      <c r="K30" s="45" t="n">
        <v>172661</v>
      </c>
      <c r="L30" s="47" t="n">
        <v>66333</v>
      </c>
    </row>
    <row r="31" customFormat="false" ht="15" hidden="false" customHeight="true" outlineLevel="0" collapsed="false">
      <c r="A31" s="1" t="s">
        <v>200</v>
      </c>
      <c r="B31" s="16" t="n">
        <v>225720</v>
      </c>
      <c r="C31" s="16" t="n">
        <v>21137</v>
      </c>
      <c r="D31" s="44" t="n">
        <v>246857</v>
      </c>
      <c r="E31" s="16" t="n">
        <v>114973</v>
      </c>
      <c r="F31" s="16" t="n">
        <v>41500</v>
      </c>
      <c r="G31" s="16" t="n">
        <v>2257</v>
      </c>
      <c r="H31" s="16" t="n">
        <v>10568</v>
      </c>
      <c r="I31" s="16" t="n">
        <v>5000</v>
      </c>
      <c r="J31" s="16" t="n">
        <v>3000</v>
      </c>
      <c r="K31" s="45" t="n">
        <v>177299</v>
      </c>
      <c r="L31" s="47" t="n">
        <v>69557</v>
      </c>
    </row>
    <row r="32" customFormat="false" ht="15" hidden="false" customHeight="true" outlineLevel="0" collapsed="false">
      <c r="A32" s="1" t="s">
        <v>202</v>
      </c>
      <c r="B32" s="16" t="n">
        <v>233420</v>
      </c>
      <c r="C32" s="16" t="n">
        <v>18517</v>
      </c>
      <c r="D32" s="44" t="n">
        <v>251937</v>
      </c>
      <c r="E32" s="16" t="n">
        <v>118561</v>
      </c>
      <c r="F32" s="16" t="n">
        <v>41500</v>
      </c>
      <c r="G32" s="16" t="n">
        <v>2334</v>
      </c>
      <c r="H32" s="16" t="n">
        <v>9258</v>
      </c>
      <c r="I32" s="16" t="n">
        <v>5000</v>
      </c>
      <c r="J32" s="16" t="n">
        <v>3000</v>
      </c>
      <c r="K32" s="45" t="n">
        <v>179654</v>
      </c>
      <c r="L32" s="47" t="n">
        <v>72282</v>
      </c>
    </row>
    <row r="33" customFormat="false" ht="15" hidden="false" customHeight="true" outlineLevel="0" collapsed="false">
      <c r="A33" s="1" t="s">
        <v>204</v>
      </c>
      <c r="B33" s="16" t="n">
        <v>232980</v>
      </c>
      <c r="C33" s="16" t="n">
        <v>16394</v>
      </c>
      <c r="D33" s="44" t="n">
        <v>249374</v>
      </c>
      <c r="E33" s="16" t="n">
        <v>118129</v>
      </c>
      <c r="F33" s="16" t="n">
        <v>41500</v>
      </c>
      <c r="G33" s="16" t="n">
        <v>2329</v>
      </c>
      <c r="H33" s="16" t="n">
        <v>8197</v>
      </c>
      <c r="I33" s="16" t="n">
        <v>5000</v>
      </c>
      <c r="J33" s="16" t="n">
        <v>3000</v>
      </c>
      <c r="K33" s="45" t="n">
        <v>178156</v>
      </c>
      <c r="L33" s="47" t="n">
        <v>71218</v>
      </c>
    </row>
    <row r="34" customFormat="false" ht="15" hidden="false" customHeight="true" outlineLevel="0" collapsed="false">
      <c r="A34" s="8" t="s">
        <v>338</v>
      </c>
      <c r="B34" s="34" t="n">
        <f aca="false">SUM(B22:B33)</f>
        <v>2647038</v>
      </c>
      <c r="C34" s="34" t="n">
        <f aca="false">SUM(C22:C33)</f>
        <v>175754</v>
      </c>
      <c r="D34" s="34" t="n">
        <f aca="false">SUM(D22:D33)</f>
        <v>2822794</v>
      </c>
      <c r="E34" s="34" t="n">
        <f aca="false">SUM(E22:E33)</f>
        <v>1341088</v>
      </c>
      <c r="F34" s="34" t="n">
        <f aca="false">SUM(F22:F33)</f>
        <v>498000</v>
      </c>
      <c r="G34" s="34" t="n">
        <f aca="false">SUM(G22:G33)</f>
        <v>26464</v>
      </c>
      <c r="H34" s="34" t="n">
        <f aca="false">SUM(H22:H33)</f>
        <v>87873</v>
      </c>
      <c r="I34" s="34" t="n">
        <f aca="false">SUM(I22:I33)</f>
        <v>60000</v>
      </c>
      <c r="J34" s="34" t="n">
        <f aca="false">SUM(J22:J33)</f>
        <v>36000</v>
      </c>
      <c r="K34" s="34" t="n">
        <f aca="false">SUM(K22:K33)</f>
        <v>2049442</v>
      </c>
      <c r="L34" s="34" t="n">
        <f aca="false">SUM(L22:L33)</f>
        <v>773348</v>
      </c>
    </row>
    <row r="36" customFormat="false" ht="15" hidden="false" customHeight="true" outlineLevel="0" collapsed="false">
      <c r="A36" s="30" t="s">
        <v>99</v>
      </c>
      <c r="B36" s="30"/>
      <c r="C36" s="30"/>
      <c r="D36" s="30"/>
      <c r="E36" s="30"/>
      <c r="F36" s="30"/>
      <c r="G36" s="30"/>
      <c r="H36" s="30"/>
      <c r="I36" s="30"/>
      <c r="J36" s="30"/>
      <c r="K36" s="30"/>
      <c r="L36" s="30"/>
    </row>
    <row r="37" customFormat="false" ht="20.25" hidden="false" customHeight="true" outlineLevel="0" collapsed="false">
      <c r="A37" s="43" t="s">
        <v>18</v>
      </c>
      <c r="B37" s="43" t="s">
        <v>142</v>
      </c>
      <c r="C37" s="43" t="s">
        <v>328</v>
      </c>
      <c r="D37" s="43" t="s">
        <v>329</v>
      </c>
      <c r="E37" s="43" t="s">
        <v>330</v>
      </c>
      <c r="F37" s="43" t="s">
        <v>331</v>
      </c>
      <c r="G37" s="43" t="s">
        <v>332</v>
      </c>
      <c r="H37" s="43" t="s">
        <v>333</v>
      </c>
      <c r="I37" s="43" t="s">
        <v>334</v>
      </c>
      <c r="J37" s="43" t="s">
        <v>335</v>
      </c>
      <c r="K37" s="43" t="s">
        <v>336</v>
      </c>
      <c r="L37" s="43" t="s">
        <v>337</v>
      </c>
    </row>
    <row r="38" customFormat="false" ht="15" hidden="false" customHeight="true" outlineLevel="0" collapsed="false">
      <c r="A38" s="1" t="s">
        <v>182</v>
      </c>
      <c r="B38" s="16" t="n">
        <v>131120</v>
      </c>
      <c r="C38" s="16" t="n">
        <v>5785</v>
      </c>
      <c r="D38" s="44" t="n">
        <v>136905</v>
      </c>
      <c r="E38" s="16" t="n">
        <v>66138</v>
      </c>
      <c r="F38" s="16" t="n">
        <v>45000</v>
      </c>
      <c r="G38" s="16" t="n">
        <v>1311</v>
      </c>
      <c r="H38" s="16" t="n">
        <v>2892</v>
      </c>
      <c r="I38" s="16" t="n">
        <v>5000</v>
      </c>
      <c r="J38" s="16" t="n">
        <v>3000</v>
      </c>
      <c r="K38" s="45" t="n">
        <v>123342</v>
      </c>
      <c r="L38" s="46" t="n">
        <v>13563</v>
      </c>
    </row>
    <row r="39" customFormat="false" ht="15" hidden="false" customHeight="true" outlineLevel="0" collapsed="false">
      <c r="A39" s="1" t="s">
        <v>184</v>
      </c>
      <c r="B39" s="16" t="n">
        <v>128319</v>
      </c>
      <c r="C39" s="16" t="n">
        <v>4581</v>
      </c>
      <c r="D39" s="44" t="n">
        <v>132901</v>
      </c>
      <c r="E39" s="16" t="n">
        <v>64618</v>
      </c>
      <c r="F39" s="16" t="n">
        <v>45000</v>
      </c>
      <c r="G39" s="16" t="n">
        <v>1283</v>
      </c>
      <c r="H39" s="16" t="n">
        <v>2290</v>
      </c>
      <c r="I39" s="16" t="n">
        <v>5000</v>
      </c>
      <c r="J39" s="16" t="n">
        <v>3000</v>
      </c>
      <c r="K39" s="45" t="n">
        <v>121192</v>
      </c>
      <c r="L39" s="46" t="n">
        <v>11709</v>
      </c>
    </row>
    <row r="40" customFormat="false" ht="15" hidden="false" customHeight="true" outlineLevel="0" collapsed="false">
      <c r="A40" s="1" t="s">
        <v>186</v>
      </c>
      <c r="B40" s="16" t="n">
        <v>184164</v>
      </c>
      <c r="C40" s="16" t="n">
        <v>7193</v>
      </c>
      <c r="D40" s="44" t="n">
        <v>191358</v>
      </c>
      <c r="E40" s="16" t="n">
        <v>92801</v>
      </c>
      <c r="F40" s="16" t="n">
        <v>45000</v>
      </c>
      <c r="G40" s="16" t="n">
        <v>1841</v>
      </c>
      <c r="H40" s="16" t="n">
        <v>3596</v>
      </c>
      <c r="I40" s="16" t="n">
        <v>5000</v>
      </c>
      <c r="J40" s="16" t="n">
        <v>3000</v>
      </c>
      <c r="K40" s="45" t="n">
        <v>151240</v>
      </c>
      <c r="L40" s="46" t="n">
        <v>40118</v>
      </c>
    </row>
    <row r="41" customFormat="false" ht="15" hidden="false" customHeight="true" outlineLevel="0" collapsed="false">
      <c r="A41" s="1" t="s">
        <v>188</v>
      </c>
      <c r="B41" s="16" t="n">
        <v>187840</v>
      </c>
      <c r="C41" s="16" t="n">
        <v>9286</v>
      </c>
      <c r="D41" s="44" t="n">
        <v>197126</v>
      </c>
      <c r="E41" s="16" t="n">
        <v>94848</v>
      </c>
      <c r="F41" s="16" t="n">
        <v>45000</v>
      </c>
      <c r="G41" s="16" t="n">
        <v>1878</v>
      </c>
      <c r="H41" s="16" t="n">
        <v>4643</v>
      </c>
      <c r="I41" s="16" t="n">
        <v>5000</v>
      </c>
      <c r="J41" s="16" t="n">
        <v>3000</v>
      </c>
      <c r="K41" s="45" t="n">
        <v>154370</v>
      </c>
      <c r="L41" s="46" t="n">
        <v>42756</v>
      </c>
    </row>
    <row r="42" customFormat="false" ht="15" hidden="false" customHeight="true" outlineLevel="0" collapsed="false">
      <c r="A42" s="1" t="s">
        <v>190</v>
      </c>
      <c r="B42" s="16" t="n">
        <v>199569</v>
      </c>
      <c r="C42" s="16" t="n">
        <v>7836</v>
      </c>
      <c r="D42" s="44" t="n">
        <v>207406</v>
      </c>
      <c r="E42" s="16" t="n">
        <v>100568</v>
      </c>
      <c r="F42" s="16" t="n">
        <v>45000</v>
      </c>
      <c r="G42" s="16" t="n">
        <v>1995</v>
      </c>
      <c r="H42" s="16" t="n">
        <v>3918</v>
      </c>
      <c r="I42" s="16" t="n">
        <v>5000</v>
      </c>
      <c r="J42" s="16" t="n">
        <v>3000</v>
      </c>
      <c r="K42" s="45" t="n">
        <v>159482</v>
      </c>
      <c r="L42" s="46" t="n">
        <v>47923</v>
      </c>
    </row>
    <row r="43" customFormat="false" ht="15" hidden="false" customHeight="true" outlineLevel="0" collapsed="false">
      <c r="A43" s="1" t="s">
        <v>192</v>
      </c>
      <c r="B43" s="16" t="n">
        <v>201845</v>
      </c>
      <c r="C43" s="16" t="n">
        <v>5306</v>
      </c>
      <c r="D43" s="44" t="n">
        <v>207152</v>
      </c>
      <c r="E43" s="16" t="n">
        <v>101453</v>
      </c>
      <c r="F43" s="16" t="n">
        <v>45000</v>
      </c>
      <c r="G43" s="16" t="n">
        <v>2018</v>
      </c>
      <c r="H43" s="16" t="n">
        <v>2653</v>
      </c>
      <c r="I43" s="16" t="n">
        <v>5000</v>
      </c>
      <c r="J43" s="16" t="n">
        <v>3000</v>
      </c>
      <c r="K43" s="45" t="n">
        <v>159125</v>
      </c>
      <c r="L43" s="46" t="n">
        <v>48026</v>
      </c>
    </row>
    <row r="44" customFormat="false" ht="15" hidden="false" customHeight="true" outlineLevel="0" collapsed="false">
      <c r="A44" s="1" t="s">
        <v>194</v>
      </c>
      <c r="B44" s="16" t="n">
        <v>164732</v>
      </c>
      <c r="C44" s="16" t="n">
        <v>4273</v>
      </c>
      <c r="D44" s="44" t="n">
        <v>169006</v>
      </c>
      <c r="E44" s="16" t="n">
        <v>82793</v>
      </c>
      <c r="F44" s="16" t="n">
        <v>45000</v>
      </c>
      <c r="G44" s="16" t="n">
        <v>1647</v>
      </c>
      <c r="H44" s="16" t="n">
        <v>2136</v>
      </c>
      <c r="I44" s="16" t="n">
        <v>5000</v>
      </c>
      <c r="J44" s="16" t="n">
        <v>3000</v>
      </c>
      <c r="K44" s="45" t="n">
        <v>139577</v>
      </c>
      <c r="L44" s="46" t="n">
        <v>29428</v>
      </c>
    </row>
    <row r="45" customFormat="false" ht="15" hidden="false" customHeight="true" outlineLevel="0" collapsed="false">
      <c r="A45" s="1" t="s">
        <v>196</v>
      </c>
      <c r="B45" s="16" t="n">
        <v>179087</v>
      </c>
      <c r="C45" s="16" t="n">
        <v>5046</v>
      </c>
      <c r="D45" s="44" t="n">
        <v>184134</v>
      </c>
      <c r="E45" s="16" t="n">
        <v>90048</v>
      </c>
      <c r="F45" s="16" t="n">
        <v>45000</v>
      </c>
      <c r="G45" s="16" t="n">
        <v>1790</v>
      </c>
      <c r="H45" s="16" t="n">
        <v>2523</v>
      </c>
      <c r="I45" s="16" t="n">
        <v>5000</v>
      </c>
      <c r="J45" s="16" t="n">
        <v>3000</v>
      </c>
      <c r="K45" s="45" t="n">
        <v>147362</v>
      </c>
      <c r="L45" s="46" t="n">
        <v>36771</v>
      </c>
    </row>
    <row r="46" customFormat="false" ht="15" hidden="false" customHeight="true" outlineLevel="0" collapsed="false">
      <c r="A46" s="1" t="s">
        <v>198</v>
      </c>
      <c r="B46" s="16" t="n">
        <v>178912</v>
      </c>
      <c r="C46" s="16" t="n">
        <v>6612</v>
      </c>
      <c r="D46" s="44" t="n">
        <v>185525</v>
      </c>
      <c r="E46" s="16" t="n">
        <v>90117</v>
      </c>
      <c r="F46" s="16" t="n">
        <v>45000</v>
      </c>
      <c r="G46" s="16" t="n">
        <v>1789</v>
      </c>
      <c r="H46" s="16" t="n">
        <v>3306</v>
      </c>
      <c r="I46" s="16" t="n">
        <v>5000</v>
      </c>
      <c r="J46" s="16" t="n">
        <v>3000</v>
      </c>
      <c r="K46" s="45" t="n">
        <v>148212</v>
      </c>
      <c r="L46" s="46" t="n">
        <v>37312</v>
      </c>
    </row>
    <row r="47" customFormat="false" ht="15" hidden="false" customHeight="true" outlineLevel="0" collapsed="false">
      <c r="A47" s="1" t="s">
        <v>200</v>
      </c>
      <c r="B47" s="16" t="n">
        <v>179612</v>
      </c>
      <c r="C47" s="16" t="n">
        <v>9874</v>
      </c>
      <c r="D47" s="44" t="n">
        <v>189487</v>
      </c>
      <c r="E47" s="16" t="n">
        <v>90793</v>
      </c>
      <c r="F47" s="16" t="n">
        <v>45000</v>
      </c>
      <c r="G47" s="16" t="n">
        <v>1796</v>
      </c>
      <c r="H47" s="16" t="n">
        <v>4937</v>
      </c>
      <c r="I47" s="16" t="n">
        <v>5000</v>
      </c>
      <c r="J47" s="16" t="n">
        <v>3000</v>
      </c>
      <c r="K47" s="45" t="n">
        <v>150527</v>
      </c>
      <c r="L47" s="46" t="n">
        <v>38960</v>
      </c>
    </row>
    <row r="48" customFormat="false" ht="15" hidden="false" customHeight="true" outlineLevel="0" collapsed="false">
      <c r="A48" s="1" t="s">
        <v>202</v>
      </c>
      <c r="B48" s="16" t="n">
        <v>185739</v>
      </c>
      <c r="C48" s="16" t="n">
        <v>8650</v>
      </c>
      <c r="D48" s="44" t="n">
        <v>194390</v>
      </c>
      <c r="E48" s="16" t="n">
        <v>93735</v>
      </c>
      <c r="F48" s="16" t="n">
        <v>45000</v>
      </c>
      <c r="G48" s="16" t="n">
        <v>1857</v>
      </c>
      <c r="H48" s="16" t="n">
        <v>4325</v>
      </c>
      <c r="I48" s="16" t="n">
        <v>5000</v>
      </c>
      <c r="J48" s="16" t="n">
        <v>3000</v>
      </c>
      <c r="K48" s="45" t="n">
        <v>152917</v>
      </c>
      <c r="L48" s="46" t="n">
        <v>41472</v>
      </c>
    </row>
    <row r="49" customFormat="false" ht="15" hidden="false" customHeight="true" outlineLevel="0" collapsed="false">
      <c r="A49" s="1" t="s">
        <v>204</v>
      </c>
      <c r="B49" s="16" t="n">
        <v>185389</v>
      </c>
      <c r="C49" s="16" t="n">
        <v>7658</v>
      </c>
      <c r="D49" s="44" t="n">
        <v>193048</v>
      </c>
      <c r="E49" s="16" t="n">
        <v>93460</v>
      </c>
      <c r="F49" s="16" t="n">
        <v>45000</v>
      </c>
      <c r="G49" s="16" t="n">
        <v>1853</v>
      </c>
      <c r="H49" s="16" t="n">
        <v>3829</v>
      </c>
      <c r="I49" s="16" t="n">
        <v>5000</v>
      </c>
      <c r="J49" s="16" t="n">
        <v>3000</v>
      </c>
      <c r="K49" s="45" t="n">
        <v>152144</v>
      </c>
      <c r="L49" s="46" t="n">
        <v>40904</v>
      </c>
    </row>
    <row r="50" customFormat="false" ht="15" hidden="false" customHeight="true" outlineLevel="0" collapsed="false">
      <c r="A50" s="8" t="s">
        <v>338</v>
      </c>
      <c r="B50" s="34" t="n">
        <f aca="false">SUM(B38:B49)</f>
        <v>2106328</v>
      </c>
      <c r="C50" s="34" t="n">
        <f aca="false">SUM(C38:C49)</f>
        <v>82100</v>
      </c>
      <c r="D50" s="34" t="n">
        <f aca="false">SUM(D38:D49)</f>
        <v>2188438</v>
      </c>
      <c r="E50" s="34" t="n">
        <f aca="false">SUM(E38:E49)</f>
        <v>1061372</v>
      </c>
      <c r="F50" s="34" t="n">
        <f aca="false">SUM(F38:F49)</f>
        <v>540000</v>
      </c>
      <c r="G50" s="34" t="n">
        <f aca="false">SUM(G38:G49)</f>
        <v>21058</v>
      </c>
      <c r="H50" s="34" t="n">
        <f aca="false">SUM(H38:H49)</f>
        <v>41048</v>
      </c>
      <c r="I50" s="34" t="n">
        <f aca="false">SUM(I38:I49)</f>
        <v>60000</v>
      </c>
      <c r="J50" s="34" t="n">
        <f aca="false">SUM(J38:J49)</f>
        <v>36000</v>
      </c>
      <c r="K50" s="34" t="n">
        <f aca="false">SUM(K38:K49)</f>
        <v>1759490</v>
      </c>
      <c r="L50" s="34" t="n">
        <f aca="false">SUM(L38:L49)</f>
        <v>428942</v>
      </c>
    </row>
    <row r="52" customFormat="false" ht="15" hidden="false" customHeight="true" outlineLevel="0" collapsed="false">
      <c r="A52" s="30" t="s">
        <v>78</v>
      </c>
      <c r="B52" s="30"/>
      <c r="C52" s="30"/>
      <c r="D52" s="30"/>
      <c r="E52" s="30"/>
      <c r="F52" s="30"/>
      <c r="G52" s="30"/>
      <c r="H52" s="30"/>
      <c r="I52" s="30"/>
      <c r="J52" s="30"/>
      <c r="K52" s="30"/>
      <c r="L52" s="30"/>
    </row>
    <row r="53" customFormat="false" ht="20.25" hidden="false" customHeight="true" outlineLevel="0" collapsed="false">
      <c r="A53" s="43" t="s">
        <v>18</v>
      </c>
      <c r="B53" s="43" t="s">
        <v>142</v>
      </c>
      <c r="C53" s="43" t="s">
        <v>328</v>
      </c>
      <c r="D53" s="43" t="s">
        <v>329</v>
      </c>
      <c r="E53" s="43" t="s">
        <v>330</v>
      </c>
      <c r="F53" s="43" t="s">
        <v>331</v>
      </c>
      <c r="G53" s="43" t="s">
        <v>332</v>
      </c>
      <c r="H53" s="43" t="s">
        <v>333</v>
      </c>
      <c r="I53" s="43" t="s">
        <v>334</v>
      </c>
      <c r="J53" s="43" t="s">
        <v>335</v>
      </c>
      <c r="K53" s="43" t="s">
        <v>336</v>
      </c>
      <c r="L53" s="43" t="s">
        <v>337</v>
      </c>
    </row>
    <row r="54" customFormat="false" ht="15" hidden="false" customHeight="true" outlineLevel="0" collapsed="false">
      <c r="A54" s="1" t="s">
        <v>182</v>
      </c>
      <c r="B54" s="16" t="n">
        <v>233985</v>
      </c>
      <c r="C54" s="16" t="n">
        <v>18076</v>
      </c>
      <c r="D54" s="44" t="n">
        <v>252062</v>
      </c>
      <c r="E54" s="16" t="n">
        <v>118800</v>
      </c>
      <c r="F54" s="16" t="n">
        <v>32500</v>
      </c>
      <c r="G54" s="16" t="n">
        <v>2339</v>
      </c>
      <c r="H54" s="16" t="n">
        <v>9038</v>
      </c>
      <c r="I54" s="16" t="n">
        <v>5000</v>
      </c>
      <c r="J54" s="16" t="n">
        <v>3000</v>
      </c>
      <c r="K54" s="45" t="n">
        <v>170678</v>
      </c>
      <c r="L54" s="47" t="n">
        <v>81383</v>
      </c>
    </row>
    <row r="55" customFormat="false" ht="15" hidden="false" customHeight="true" outlineLevel="0" collapsed="false">
      <c r="A55" s="1" t="s">
        <v>184</v>
      </c>
      <c r="B55" s="16" t="n">
        <v>253763</v>
      </c>
      <c r="C55" s="16" t="n">
        <v>12215</v>
      </c>
      <c r="D55" s="44" t="n">
        <v>265979</v>
      </c>
      <c r="E55" s="16" t="n">
        <v>128103</v>
      </c>
      <c r="F55" s="16" t="n">
        <v>32500</v>
      </c>
      <c r="G55" s="16" t="n">
        <v>2537</v>
      </c>
      <c r="H55" s="16" t="n">
        <v>6107</v>
      </c>
      <c r="I55" s="16" t="n">
        <v>5000</v>
      </c>
      <c r="J55" s="16" t="n">
        <v>3000</v>
      </c>
      <c r="K55" s="45" t="n">
        <v>177249</v>
      </c>
      <c r="L55" s="47" t="n">
        <v>88730</v>
      </c>
    </row>
    <row r="56" customFormat="false" ht="15" hidden="false" customHeight="true" outlineLevel="0" collapsed="false">
      <c r="A56" s="1" t="s">
        <v>186</v>
      </c>
      <c r="B56" s="16" t="n">
        <v>379732</v>
      </c>
      <c r="C56" s="16" t="n">
        <v>29379</v>
      </c>
      <c r="D56" s="44" t="n">
        <v>409111</v>
      </c>
      <c r="E56" s="16" t="n">
        <v>192804</v>
      </c>
      <c r="F56" s="16" t="n">
        <v>32500</v>
      </c>
      <c r="G56" s="16" t="n">
        <v>3797</v>
      </c>
      <c r="H56" s="16" t="n">
        <v>14689</v>
      </c>
      <c r="I56" s="16" t="n">
        <v>5000</v>
      </c>
      <c r="J56" s="16" t="n">
        <v>3000</v>
      </c>
      <c r="K56" s="45" t="n">
        <v>251791</v>
      </c>
      <c r="L56" s="47" t="n">
        <v>157320</v>
      </c>
    </row>
    <row r="57" customFormat="false" ht="15" hidden="false" customHeight="true" outlineLevel="0" collapsed="false">
      <c r="A57" s="1" t="s">
        <v>188</v>
      </c>
      <c r="B57" s="16" t="n">
        <v>378515</v>
      </c>
      <c r="C57" s="16" t="n">
        <v>29379</v>
      </c>
      <c r="D57" s="44" t="n">
        <v>407894</v>
      </c>
      <c r="E57" s="16" t="n">
        <v>192195</v>
      </c>
      <c r="F57" s="16" t="n">
        <v>32500</v>
      </c>
      <c r="G57" s="16" t="n">
        <v>3785</v>
      </c>
      <c r="H57" s="16" t="n">
        <v>14689</v>
      </c>
      <c r="I57" s="16" t="n">
        <v>5000</v>
      </c>
      <c r="J57" s="16" t="n">
        <v>3000</v>
      </c>
      <c r="K57" s="45" t="n">
        <v>251170</v>
      </c>
      <c r="L57" s="47" t="n">
        <v>156724</v>
      </c>
    </row>
    <row r="58" customFormat="false" ht="15" hidden="false" customHeight="true" outlineLevel="0" collapsed="false">
      <c r="A58" s="1" t="s">
        <v>190</v>
      </c>
      <c r="B58" s="16" t="n">
        <v>361171</v>
      </c>
      <c r="C58" s="16" t="n">
        <v>17125</v>
      </c>
      <c r="D58" s="44" t="n">
        <v>378297</v>
      </c>
      <c r="E58" s="16" t="n">
        <v>182298</v>
      </c>
      <c r="F58" s="16" t="n">
        <v>32500</v>
      </c>
      <c r="G58" s="16" t="n">
        <v>3611</v>
      </c>
      <c r="H58" s="16" t="n">
        <v>8562</v>
      </c>
      <c r="I58" s="16" t="n">
        <v>5000</v>
      </c>
      <c r="J58" s="16" t="n">
        <v>3000</v>
      </c>
      <c r="K58" s="45" t="n">
        <v>234972</v>
      </c>
      <c r="L58" s="47" t="n">
        <v>143324</v>
      </c>
    </row>
    <row r="59" customFormat="false" ht="15" hidden="false" customHeight="true" outlineLevel="0" collapsed="false">
      <c r="A59" s="1" t="s">
        <v>192</v>
      </c>
      <c r="B59" s="16" t="n">
        <v>362693</v>
      </c>
      <c r="C59" s="16" t="n">
        <v>11987</v>
      </c>
      <c r="D59" s="44" t="n">
        <v>374680</v>
      </c>
      <c r="E59" s="16" t="n">
        <v>182545</v>
      </c>
      <c r="F59" s="16" t="n">
        <v>32500</v>
      </c>
      <c r="G59" s="16" t="n">
        <v>3626</v>
      </c>
      <c r="H59" s="16" t="n">
        <v>5993</v>
      </c>
      <c r="I59" s="16" t="n">
        <v>5000</v>
      </c>
      <c r="J59" s="16" t="n">
        <v>3000</v>
      </c>
      <c r="K59" s="45" t="n">
        <v>232666</v>
      </c>
      <c r="L59" s="47" t="n">
        <v>142014</v>
      </c>
    </row>
    <row r="60" customFormat="false" ht="15" hidden="false" customHeight="true" outlineLevel="0" collapsed="false">
      <c r="A60" s="1" t="s">
        <v>194</v>
      </c>
      <c r="B60" s="16" t="n">
        <v>254980</v>
      </c>
      <c r="C60" s="16" t="n">
        <v>10960</v>
      </c>
      <c r="D60" s="44" t="n">
        <v>265940</v>
      </c>
      <c r="E60" s="16" t="n">
        <v>128586</v>
      </c>
      <c r="F60" s="16" t="n">
        <v>32500</v>
      </c>
      <c r="G60" s="16" t="n">
        <v>2549</v>
      </c>
      <c r="H60" s="16" t="n">
        <v>5480</v>
      </c>
      <c r="I60" s="16" t="n">
        <v>5000</v>
      </c>
      <c r="J60" s="16" t="n">
        <v>3000</v>
      </c>
      <c r="K60" s="45" t="n">
        <v>177116</v>
      </c>
      <c r="L60" s="47" t="n">
        <v>88824</v>
      </c>
    </row>
    <row r="61" customFormat="false" ht="15" hidden="false" customHeight="true" outlineLevel="0" collapsed="false">
      <c r="A61" s="1" t="s">
        <v>196</v>
      </c>
      <c r="B61" s="16" t="n">
        <v>297274</v>
      </c>
      <c r="C61" s="16" t="n">
        <v>17505</v>
      </c>
      <c r="D61" s="44" t="n">
        <v>314780</v>
      </c>
      <c r="E61" s="16" t="n">
        <v>150387</v>
      </c>
      <c r="F61" s="16" t="n">
        <v>32500</v>
      </c>
      <c r="G61" s="16" t="n">
        <v>2972</v>
      </c>
      <c r="H61" s="16" t="n">
        <v>8752</v>
      </c>
      <c r="I61" s="16" t="n">
        <v>5000</v>
      </c>
      <c r="J61" s="16" t="n">
        <v>3000</v>
      </c>
      <c r="K61" s="45" t="n">
        <v>202613</v>
      </c>
      <c r="L61" s="47" t="n">
        <v>112166</v>
      </c>
    </row>
    <row r="62" customFormat="false" ht="15" hidden="false" customHeight="true" outlineLevel="0" collapsed="false">
      <c r="A62" s="1" t="s">
        <v>198</v>
      </c>
      <c r="B62" s="16" t="n">
        <v>267455</v>
      </c>
      <c r="C62" s="16" t="n">
        <v>17981</v>
      </c>
      <c r="D62" s="44" t="n">
        <v>285437</v>
      </c>
      <c r="E62" s="16" t="n">
        <v>135526</v>
      </c>
      <c r="F62" s="16" t="n">
        <v>32500</v>
      </c>
      <c r="G62" s="16" t="n">
        <v>2674</v>
      </c>
      <c r="H62" s="16" t="n">
        <v>8990</v>
      </c>
      <c r="I62" s="16" t="n">
        <v>5000</v>
      </c>
      <c r="J62" s="16" t="n">
        <v>3000</v>
      </c>
      <c r="K62" s="45" t="n">
        <v>187691</v>
      </c>
      <c r="L62" s="47" t="n">
        <v>97745</v>
      </c>
    </row>
    <row r="63" customFormat="false" ht="15" hidden="false" customHeight="true" outlineLevel="0" collapsed="false">
      <c r="A63" s="1" t="s">
        <v>200</v>
      </c>
      <c r="B63" s="16" t="n">
        <v>293927</v>
      </c>
      <c r="C63" s="16" t="n">
        <v>22167</v>
      </c>
      <c r="D63" s="44" t="n">
        <v>316095</v>
      </c>
      <c r="E63" s="16" t="n">
        <v>149180</v>
      </c>
      <c r="F63" s="16" t="n">
        <v>32500</v>
      </c>
      <c r="G63" s="16" t="n">
        <v>2939</v>
      </c>
      <c r="H63" s="16" t="n">
        <v>11083</v>
      </c>
      <c r="I63" s="16" t="n">
        <v>5000</v>
      </c>
      <c r="J63" s="16" t="n">
        <v>3000</v>
      </c>
      <c r="K63" s="45" t="n">
        <v>203703</v>
      </c>
      <c r="L63" s="47" t="n">
        <v>112391</v>
      </c>
    </row>
    <row r="64" customFormat="false" ht="15" hidden="false" customHeight="true" outlineLevel="0" collapsed="false">
      <c r="A64" s="1" t="s">
        <v>202</v>
      </c>
      <c r="B64" s="16" t="n">
        <v>302447</v>
      </c>
      <c r="C64" s="16" t="n">
        <v>22395</v>
      </c>
      <c r="D64" s="44" t="n">
        <v>324843</v>
      </c>
      <c r="E64" s="16" t="n">
        <v>153463</v>
      </c>
      <c r="F64" s="16" t="n">
        <v>32500</v>
      </c>
      <c r="G64" s="16" t="n">
        <v>3024</v>
      </c>
      <c r="H64" s="16" t="n">
        <v>11197</v>
      </c>
      <c r="I64" s="16" t="n">
        <v>5000</v>
      </c>
      <c r="J64" s="16" t="n">
        <v>3000</v>
      </c>
      <c r="K64" s="45" t="n">
        <v>208185</v>
      </c>
      <c r="L64" s="47" t="n">
        <v>116657</v>
      </c>
    </row>
    <row r="65" customFormat="false" ht="15" hidden="false" customHeight="true" outlineLevel="0" collapsed="false">
      <c r="A65" s="1" t="s">
        <v>204</v>
      </c>
      <c r="B65" s="16" t="n">
        <v>313705</v>
      </c>
      <c r="C65" s="16" t="n">
        <v>21197</v>
      </c>
      <c r="D65" s="44" t="n">
        <v>334902</v>
      </c>
      <c r="E65" s="16" t="n">
        <v>158972</v>
      </c>
      <c r="F65" s="16" t="n">
        <v>32500</v>
      </c>
      <c r="G65" s="16" t="n">
        <v>3137</v>
      </c>
      <c r="H65" s="16" t="n">
        <v>10598</v>
      </c>
      <c r="I65" s="16" t="n">
        <v>5000</v>
      </c>
      <c r="J65" s="16" t="n">
        <v>3000</v>
      </c>
      <c r="K65" s="45" t="n">
        <v>213208</v>
      </c>
      <c r="L65" s="47" t="n">
        <v>121694</v>
      </c>
    </row>
    <row r="66" customFormat="false" ht="15" hidden="false" customHeight="true" outlineLevel="0" collapsed="false">
      <c r="A66" s="8" t="s">
        <v>338</v>
      </c>
      <c r="B66" s="34" t="n">
        <f aca="false">SUM(B54:B65)</f>
        <v>3699647</v>
      </c>
      <c r="C66" s="34" t="n">
        <f aca="false">SUM(C54:C65)</f>
        <v>230366</v>
      </c>
      <c r="D66" s="34" t="n">
        <f aca="false">SUM(D54:D65)</f>
        <v>3930020</v>
      </c>
      <c r="E66" s="34" t="n">
        <f aca="false">SUM(E54:E65)</f>
        <v>1872859</v>
      </c>
      <c r="F66" s="34" t="n">
        <f aca="false">SUM(F54:F65)</f>
        <v>390000</v>
      </c>
      <c r="G66" s="34" t="n">
        <f aca="false">SUM(G54:G65)</f>
        <v>36990</v>
      </c>
      <c r="H66" s="34" t="n">
        <f aca="false">SUM(H54:H65)</f>
        <v>115178</v>
      </c>
      <c r="I66" s="34" t="n">
        <f aca="false">SUM(I54:I65)</f>
        <v>60000</v>
      </c>
      <c r="J66" s="34" t="n">
        <f aca="false">SUM(J54:J65)</f>
        <v>36000</v>
      </c>
      <c r="K66" s="34" t="n">
        <f aca="false">SUM(K54:K65)</f>
        <v>2511042</v>
      </c>
      <c r="L66" s="34" t="n">
        <f aca="false">SUM(L54:L65)</f>
        <v>1418972</v>
      </c>
    </row>
    <row r="68" customFormat="false" ht="15" hidden="false" customHeight="true" outlineLevel="0" collapsed="false">
      <c r="A68" s="30" t="s">
        <v>80</v>
      </c>
      <c r="B68" s="30"/>
      <c r="C68" s="30"/>
      <c r="D68" s="30"/>
      <c r="E68" s="30"/>
      <c r="F68" s="30"/>
      <c r="G68" s="30"/>
      <c r="H68" s="30"/>
      <c r="I68" s="30"/>
      <c r="J68" s="30"/>
      <c r="K68" s="30"/>
      <c r="L68" s="30"/>
    </row>
    <row r="69" customFormat="false" ht="20.25" hidden="false" customHeight="true" outlineLevel="0" collapsed="false">
      <c r="A69" s="43" t="s">
        <v>18</v>
      </c>
      <c r="B69" s="43" t="s">
        <v>142</v>
      </c>
      <c r="C69" s="43" t="s">
        <v>328</v>
      </c>
      <c r="D69" s="43" t="s">
        <v>329</v>
      </c>
      <c r="E69" s="43" t="s">
        <v>330</v>
      </c>
      <c r="F69" s="43" t="s">
        <v>331</v>
      </c>
      <c r="G69" s="43" t="s">
        <v>332</v>
      </c>
      <c r="H69" s="43" t="s">
        <v>333</v>
      </c>
      <c r="I69" s="43" t="s">
        <v>334</v>
      </c>
      <c r="J69" s="43" t="s">
        <v>335</v>
      </c>
      <c r="K69" s="43" t="s">
        <v>336</v>
      </c>
      <c r="L69" s="43" t="s">
        <v>337</v>
      </c>
    </row>
    <row r="70" customFormat="false" ht="15" hidden="false" customHeight="true" outlineLevel="0" collapsed="false">
      <c r="A70" s="1" t="s">
        <v>182</v>
      </c>
      <c r="B70" s="16" t="n">
        <v>160872</v>
      </c>
      <c r="C70" s="16" t="n">
        <v>22369</v>
      </c>
      <c r="D70" s="44" t="n">
        <v>183241</v>
      </c>
      <c r="E70" s="16" t="n">
        <v>82673</v>
      </c>
      <c r="F70" s="16" t="n">
        <v>39500</v>
      </c>
      <c r="G70" s="16" t="n">
        <v>1608</v>
      </c>
      <c r="H70" s="16" t="n">
        <v>11184</v>
      </c>
      <c r="I70" s="16" t="n">
        <v>5000</v>
      </c>
      <c r="J70" s="16" t="n">
        <v>3000</v>
      </c>
      <c r="K70" s="45" t="n">
        <v>142966</v>
      </c>
      <c r="L70" s="46" t="n">
        <v>40275</v>
      </c>
    </row>
    <row r="71" customFormat="false" ht="15" hidden="false" customHeight="true" outlineLevel="0" collapsed="false">
      <c r="A71" s="1" t="s">
        <v>184</v>
      </c>
      <c r="B71" s="16" t="n">
        <v>127742</v>
      </c>
      <c r="C71" s="16" t="n">
        <v>15737</v>
      </c>
      <c r="D71" s="44" t="n">
        <v>143479</v>
      </c>
      <c r="E71" s="16" t="n">
        <v>65444</v>
      </c>
      <c r="F71" s="16" t="n">
        <v>39500</v>
      </c>
      <c r="G71" s="16" t="n">
        <v>1277</v>
      </c>
      <c r="H71" s="16" t="n">
        <v>7868</v>
      </c>
      <c r="I71" s="16" t="n">
        <v>5000</v>
      </c>
      <c r="J71" s="16" t="n">
        <v>3000</v>
      </c>
      <c r="K71" s="45" t="n">
        <v>122090</v>
      </c>
      <c r="L71" s="46" t="n">
        <v>21388</v>
      </c>
    </row>
    <row r="72" customFormat="false" ht="15" hidden="false" customHeight="true" outlineLevel="0" collapsed="false">
      <c r="A72" s="1" t="s">
        <v>186</v>
      </c>
      <c r="B72" s="16" t="n">
        <v>157115</v>
      </c>
      <c r="C72" s="16" t="n">
        <v>21077</v>
      </c>
      <c r="D72" s="44" t="n">
        <v>178193</v>
      </c>
      <c r="E72" s="16" t="n">
        <v>80665</v>
      </c>
      <c r="F72" s="16" t="n">
        <v>39500</v>
      </c>
      <c r="G72" s="16" t="n">
        <v>1571</v>
      </c>
      <c r="H72" s="16" t="n">
        <v>10538</v>
      </c>
      <c r="I72" s="16" t="n">
        <v>5000</v>
      </c>
      <c r="J72" s="16" t="n">
        <v>3000</v>
      </c>
      <c r="K72" s="45" t="n">
        <v>140275</v>
      </c>
      <c r="L72" s="46" t="n">
        <v>37917</v>
      </c>
    </row>
    <row r="73" customFormat="false" ht="15" hidden="false" customHeight="true" outlineLevel="0" collapsed="false">
      <c r="A73" s="1" t="s">
        <v>188</v>
      </c>
      <c r="B73" s="16" t="n">
        <v>182732</v>
      </c>
      <c r="C73" s="16" t="n">
        <v>27249</v>
      </c>
      <c r="D73" s="44" t="n">
        <v>209982</v>
      </c>
      <c r="E73" s="16" t="n">
        <v>94091</v>
      </c>
      <c r="F73" s="16" t="n">
        <v>39500</v>
      </c>
      <c r="G73" s="16" t="n">
        <v>1827</v>
      </c>
      <c r="H73" s="16" t="n">
        <v>13624</v>
      </c>
      <c r="I73" s="16" t="n">
        <v>5000</v>
      </c>
      <c r="J73" s="16" t="n">
        <v>3000</v>
      </c>
      <c r="K73" s="45" t="n">
        <v>157043</v>
      </c>
      <c r="L73" s="47" t="n">
        <v>52938</v>
      </c>
    </row>
    <row r="74" customFormat="false" ht="15" hidden="false" customHeight="true" outlineLevel="0" collapsed="false">
      <c r="A74" s="1" t="s">
        <v>190</v>
      </c>
      <c r="B74" s="16" t="n">
        <v>181707</v>
      </c>
      <c r="C74" s="16" t="n">
        <v>23988</v>
      </c>
      <c r="D74" s="44" t="n">
        <v>205696</v>
      </c>
      <c r="E74" s="16" t="n">
        <v>93252</v>
      </c>
      <c r="F74" s="16" t="n">
        <v>39500</v>
      </c>
      <c r="G74" s="16" t="n">
        <v>1817</v>
      </c>
      <c r="H74" s="16" t="n">
        <v>11994</v>
      </c>
      <c r="I74" s="16" t="n">
        <v>5000</v>
      </c>
      <c r="J74" s="16" t="n">
        <v>3000</v>
      </c>
      <c r="K74" s="45" t="n">
        <v>154564</v>
      </c>
      <c r="L74" s="47" t="n">
        <v>51132</v>
      </c>
    </row>
    <row r="75" customFormat="false" ht="15" hidden="false" customHeight="true" outlineLevel="0" collapsed="false">
      <c r="A75" s="1" t="s">
        <v>192</v>
      </c>
      <c r="B75" s="16" t="n">
        <v>201688</v>
      </c>
      <c r="C75" s="16" t="n">
        <v>17094</v>
      </c>
      <c r="D75" s="44" t="n">
        <v>218783</v>
      </c>
      <c r="E75" s="16" t="n">
        <v>102553</v>
      </c>
      <c r="F75" s="16" t="n">
        <v>39500</v>
      </c>
      <c r="G75" s="16" t="n">
        <v>2016</v>
      </c>
      <c r="H75" s="16" t="n">
        <v>8547</v>
      </c>
      <c r="I75" s="16" t="n">
        <v>5000</v>
      </c>
      <c r="J75" s="16" t="n">
        <v>3000</v>
      </c>
      <c r="K75" s="45" t="n">
        <v>160617</v>
      </c>
      <c r="L75" s="47" t="n">
        <v>58165</v>
      </c>
    </row>
    <row r="76" customFormat="false" ht="15" hidden="false" customHeight="true" outlineLevel="0" collapsed="false">
      <c r="A76" s="1" t="s">
        <v>194</v>
      </c>
      <c r="B76" s="16" t="n">
        <v>183074</v>
      </c>
      <c r="C76" s="16" t="n">
        <v>17116</v>
      </c>
      <c r="D76" s="44" t="n">
        <v>200190</v>
      </c>
      <c r="E76" s="16" t="n">
        <v>93248</v>
      </c>
      <c r="F76" s="16" t="n">
        <v>39500</v>
      </c>
      <c r="G76" s="16" t="n">
        <v>1830</v>
      </c>
      <c r="H76" s="16" t="n">
        <v>8558</v>
      </c>
      <c r="I76" s="16" t="n">
        <v>5000</v>
      </c>
      <c r="J76" s="16" t="n">
        <v>3000</v>
      </c>
      <c r="K76" s="45" t="n">
        <v>151137</v>
      </c>
      <c r="L76" s="46" t="n">
        <v>49052</v>
      </c>
    </row>
    <row r="77" customFormat="false" ht="15" hidden="false" customHeight="true" outlineLevel="0" collapsed="false">
      <c r="A77" s="1" t="s">
        <v>196</v>
      </c>
      <c r="B77" s="16" t="n">
        <v>167533</v>
      </c>
      <c r="C77" s="16" t="n">
        <v>14642</v>
      </c>
      <c r="D77" s="44" t="n">
        <v>182176</v>
      </c>
      <c r="E77" s="16" t="n">
        <v>85230</v>
      </c>
      <c r="F77" s="16" t="n">
        <v>39500</v>
      </c>
      <c r="G77" s="16" t="n">
        <v>1675</v>
      </c>
      <c r="H77" s="16" t="n">
        <v>7321</v>
      </c>
      <c r="I77" s="16" t="n">
        <v>5000</v>
      </c>
      <c r="J77" s="16" t="n">
        <v>3000</v>
      </c>
      <c r="K77" s="45" t="n">
        <v>141727</v>
      </c>
      <c r="L77" s="46" t="n">
        <v>40448</v>
      </c>
    </row>
    <row r="78" customFormat="false" ht="15" hidden="false" customHeight="true" outlineLevel="0" collapsed="false">
      <c r="A78" s="1" t="s">
        <v>198</v>
      </c>
      <c r="B78" s="16" t="n">
        <v>172656</v>
      </c>
      <c r="C78" s="16" t="n">
        <v>22938</v>
      </c>
      <c r="D78" s="44" t="n">
        <v>195594</v>
      </c>
      <c r="E78" s="16" t="n">
        <v>88622</v>
      </c>
      <c r="F78" s="16" t="n">
        <v>39500</v>
      </c>
      <c r="G78" s="16" t="n">
        <v>1726</v>
      </c>
      <c r="H78" s="16" t="n">
        <v>11469</v>
      </c>
      <c r="I78" s="16" t="n">
        <v>5000</v>
      </c>
      <c r="J78" s="16" t="n">
        <v>3000</v>
      </c>
      <c r="K78" s="45" t="n">
        <v>149317</v>
      </c>
      <c r="L78" s="46" t="n">
        <v>46276</v>
      </c>
    </row>
    <row r="79" customFormat="false" ht="15" hidden="false" customHeight="true" outlineLevel="0" collapsed="false">
      <c r="A79" s="1" t="s">
        <v>200</v>
      </c>
      <c r="B79" s="16" t="n">
        <v>171461</v>
      </c>
      <c r="C79" s="16" t="n">
        <v>30883</v>
      </c>
      <c r="D79" s="44" t="n">
        <v>202344</v>
      </c>
      <c r="E79" s="16" t="n">
        <v>88818</v>
      </c>
      <c r="F79" s="16" t="n">
        <v>39500</v>
      </c>
      <c r="G79" s="16" t="n">
        <v>1714</v>
      </c>
      <c r="H79" s="16" t="n">
        <v>15441</v>
      </c>
      <c r="I79" s="16" t="n">
        <v>5000</v>
      </c>
      <c r="J79" s="16" t="n">
        <v>3000</v>
      </c>
      <c r="K79" s="45" t="n">
        <v>153475</v>
      </c>
      <c r="L79" s="46" t="n">
        <v>48869</v>
      </c>
    </row>
    <row r="80" customFormat="false" ht="15" hidden="false" customHeight="true" outlineLevel="0" collapsed="false">
      <c r="A80" s="1" t="s">
        <v>202</v>
      </c>
      <c r="B80" s="16" t="n">
        <v>167362</v>
      </c>
      <c r="C80" s="16" t="n">
        <v>25455</v>
      </c>
      <c r="D80" s="44" t="n">
        <v>192817</v>
      </c>
      <c r="E80" s="16" t="n">
        <v>86226</v>
      </c>
      <c r="F80" s="16" t="n">
        <v>39500</v>
      </c>
      <c r="G80" s="16" t="n">
        <v>1673</v>
      </c>
      <c r="H80" s="16" t="n">
        <v>12727</v>
      </c>
      <c r="I80" s="16" t="n">
        <v>5000</v>
      </c>
      <c r="J80" s="16" t="n">
        <v>3000</v>
      </c>
      <c r="K80" s="45" t="n">
        <v>148127</v>
      </c>
      <c r="L80" s="46" t="n">
        <v>44689</v>
      </c>
    </row>
    <row r="81" customFormat="false" ht="15" hidden="false" customHeight="true" outlineLevel="0" collapsed="false">
      <c r="A81" s="1" t="s">
        <v>204</v>
      </c>
      <c r="B81" s="16" t="n">
        <v>175218</v>
      </c>
      <c r="C81" s="16" t="n">
        <v>24098</v>
      </c>
      <c r="D81" s="44" t="n">
        <v>199316</v>
      </c>
      <c r="E81" s="16" t="n">
        <v>90018</v>
      </c>
      <c r="F81" s="16" t="n">
        <v>39500</v>
      </c>
      <c r="G81" s="16" t="n">
        <v>1752</v>
      </c>
      <c r="H81" s="16" t="n">
        <v>12049</v>
      </c>
      <c r="I81" s="16" t="n">
        <v>5000</v>
      </c>
      <c r="J81" s="16" t="n">
        <v>3000</v>
      </c>
      <c r="K81" s="45" t="n">
        <v>151320</v>
      </c>
      <c r="L81" s="46" t="n">
        <v>47996</v>
      </c>
    </row>
    <row r="82" customFormat="false" ht="15" hidden="false" customHeight="true" outlineLevel="0" collapsed="false">
      <c r="A82" s="8" t="s">
        <v>338</v>
      </c>
      <c r="B82" s="34" t="n">
        <f aca="false">SUM(B70:B81)</f>
        <v>2049160</v>
      </c>
      <c r="C82" s="34" t="n">
        <f aca="false">SUM(C70:C81)</f>
        <v>262646</v>
      </c>
      <c r="D82" s="34" t="n">
        <f aca="false">SUM(D70:D81)</f>
        <v>2311811</v>
      </c>
      <c r="E82" s="34" t="n">
        <f aca="false">SUM(E70:E81)</f>
        <v>1050840</v>
      </c>
      <c r="F82" s="34" t="n">
        <f aca="false">SUM(F70:F81)</f>
        <v>474000</v>
      </c>
      <c r="G82" s="34" t="n">
        <f aca="false">SUM(G70:G81)</f>
        <v>20486</v>
      </c>
      <c r="H82" s="34" t="n">
        <f aca="false">SUM(H70:H81)</f>
        <v>131320</v>
      </c>
      <c r="I82" s="34" t="n">
        <f aca="false">SUM(I70:I81)</f>
        <v>60000</v>
      </c>
      <c r="J82" s="34" t="n">
        <f aca="false">SUM(J70:J81)</f>
        <v>36000</v>
      </c>
      <c r="K82" s="34" t="n">
        <f aca="false">SUM(K70:K81)</f>
        <v>1772658</v>
      </c>
      <c r="L82" s="34" t="n">
        <f aca="false">SUM(L70:L81)</f>
        <v>539145</v>
      </c>
    </row>
    <row r="84" customFormat="false" ht="15" hidden="false" customHeight="true" outlineLevel="0" collapsed="false">
      <c r="A84" s="30" t="s">
        <v>70</v>
      </c>
      <c r="B84" s="30"/>
      <c r="C84" s="30"/>
      <c r="D84" s="30"/>
      <c r="E84" s="30"/>
      <c r="F84" s="30"/>
      <c r="G84" s="30"/>
      <c r="H84" s="30"/>
      <c r="I84" s="30"/>
      <c r="J84" s="30"/>
      <c r="K84" s="30"/>
      <c r="L84" s="30"/>
    </row>
    <row r="85" customFormat="false" ht="20.25" hidden="false" customHeight="true" outlineLevel="0" collapsed="false">
      <c r="A85" s="43" t="s">
        <v>18</v>
      </c>
      <c r="B85" s="43" t="s">
        <v>142</v>
      </c>
      <c r="C85" s="43" t="s">
        <v>328</v>
      </c>
      <c r="D85" s="43" t="s">
        <v>329</v>
      </c>
      <c r="E85" s="43" t="s">
        <v>330</v>
      </c>
      <c r="F85" s="43" t="s">
        <v>331</v>
      </c>
      <c r="G85" s="43" t="s">
        <v>332</v>
      </c>
      <c r="H85" s="43" t="s">
        <v>333</v>
      </c>
      <c r="I85" s="43" t="s">
        <v>334</v>
      </c>
      <c r="J85" s="43" t="s">
        <v>335</v>
      </c>
      <c r="K85" s="43" t="s">
        <v>336</v>
      </c>
      <c r="L85" s="43" t="s">
        <v>337</v>
      </c>
    </row>
    <row r="86" customFormat="false" ht="15" hidden="false" customHeight="true" outlineLevel="0" collapsed="false">
      <c r="A86" s="1" t="s">
        <v>182</v>
      </c>
      <c r="B86" s="16" t="n">
        <v>243947</v>
      </c>
      <c r="C86" s="16" t="n">
        <v>22246</v>
      </c>
      <c r="D86" s="44" t="n">
        <v>266194</v>
      </c>
      <c r="E86" s="16" t="n">
        <v>124198</v>
      </c>
      <c r="F86" s="16" t="n">
        <v>75000</v>
      </c>
      <c r="G86" s="16" t="n">
        <v>2439</v>
      </c>
      <c r="H86" s="16" t="n">
        <v>11123</v>
      </c>
      <c r="I86" s="16" t="n">
        <v>5000</v>
      </c>
      <c r="J86" s="16" t="n">
        <v>3000</v>
      </c>
      <c r="K86" s="45" t="n">
        <v>220761</v>
      </c>
      <c r="L86" s="46" t="n">
        <v>45432</v>
      </c>
    </row>
    <row r="87" customFormat="false" ht="15" hidden="false" customHeight="true" outlineLevel="0" collapsed="false">
      <c r="A87" s="1" t="s">
        <v>184</v>
      </c>
      <c r="B87" s="16" t="n">
        <v>239364</v>
      </c>
      <c r="C87" s="16" t="n">
        <v>17124</v>
      </c>
      <c r="D87" s="44" t="n">
        <v>256489</v>
      </c>
      <c r="E87" s="16" t="n">
        <v>121394</v>
      </c>
      <c r="F87" s="16" t="n">
        <v>75000</v>
      </c>
      <c r="G87" s="16" t="n">
        <v>2393</v>
      </c>
      <c r="H87" s="16" t="n">
        <v>8562</v>
      </c>
      <c r="I87" s="16" t="n">
        <v>5000</v>
      </c>
      <c r="J87" s="16" t="n">
        <v>3000</v>
      </c>
      <c r="K87" s="45" t="n">
        <v>215350</v>
      </c>
      <c r="L87" s="46" t="n">
        <v>41138</v>
      </c>
    </row>
    <row r="88" customFormat="false" ht="15" hidden="false" customHeight="true" outlineLevel="0" collapsed="false">
      <c r="A88" s="1" t="s">
        <v>186</v>
      </c>
      <c r="B88" s="16" t="n">
        <v>383547</v>
      </c>
      <c r="C88" s="16" t="n">
        <v>32584</v>
      </c>
      <c r="D88" s="44" t="n">
        <v>416131</v>
      </c>
      <c r="E88" s="16" t="n">
        <v>195032</v>
      </c>
      <c r="F88" s="16" t="n">
        <v>75000</v>
      </c>
      <c r="G88" s="16" t="n">
        <v>3835</v>
      </c>
      <c r="H88" s="16" t="n">
        <v>16292</v>
      </c>
      <c r="I88" s="16" t="n">
        <v>5000</v>
      </c>
      <c r="J88" s="16" t="n">
        <v>3000</v>
      </c>
      <c r="K88" s="45" t="n">
        <v>298159</v>
      </c>
      <c r="L88" s="47" t="n">
        <v>117972</v>
      </c>
    </row>
    <row r="89" customFormat="false" ht="15" hidden="false" customHeight="true" outlineLevel="0" collapsed="false">
      <c r="A89" s="1" t="s">
        <v>188</v>
      </c>
      <c r="B89" s="16" t="n">
        <v>362748</v>
      </c>
      <c r="C89" s="16" t="n">
        <v>37831</v>
      </c>
      <c r="D89" s="44" t="n">
        <v>400580</v>
      </c>
      <c r="E89" s="16" t="n">
        <v>185157</v>
      </c>
      <c r="F89" s="16" t="n">
        <v>75000</v>
      </c>
      <c r="G89" s="16" t="n">
        <v>3627</v>
      </c>
      <c r="H89" s="16" t="n">
        <v>18915</v>
      </c>
      <c r="I89" s="16" t="n">
        <v>5000</v>
      </c>
      <c r="J89" s="16" t="n">
        <v>3000</v>
      </c>
      <c r="K89" s="45" t="n">
        <v>290700</v>
      </c>
      <c r="L89" s="47" t="n">
        <v>109879</v>
      </c>
    </row>
    <row r="90" customFormat="false" ht="15" hidden="false" customHeight="true" outlineLevel="0" collapsed="false">
      <c r="A90" s="1" t="s">
        <v>190</v>
      </c>
      <c r="B90" s="16" t="n">
        <v>405756</v>
      </c>
      <c r="C90" s="16" t="n">
        <v>40911</v>
      </c>
      <c r="D90" s="44" t="n">
        <v>446667</v>
      </c>
      <c r="E90" s="16" t="n">
        <v>206969</v>
      </c>
      <c r="F90" s="16" t="n">
        <v>75000</v>
      </c>
      <c r="G90" s="16" t="n">
        <v>4057</v>
      </c>
      <c r="H90" s="16" t="n">
        <v>20455</v>
      </c>
      <c r="I90" s="16" t="n">
        <v>5000</v>
      </c>
      <c r="J90" s="16" t="n">
        <v>3000</v>
      </c>
      <c r="K90" s="45" t="n">
        <v>314482</v>
      </c>
      <c r="L90" s="47" t="n">
        <v>132185</v>
      </c>
    </row>
    <row r="91" customFormat="false" ht="15" hidden="false" customHeight="true" outlineLevel="0" collapsed="false">
      <c r="A91" s="1" t="s">
        <v>192</v>
      </c>
      <c r="B91" s="16" t="n">
        <v>393770</v>
      </c>
      <c r="C91" s="16" t="n">
        <v>32521</v>
      </c>
      <c r="D91" s="44" t="n">
        <v>426292</v>
      </c>
      <c r="E91" s="16" t="n">
        <v>200137</v>
      </c>
      <c r="F91" s="16" t="n">
        <v>75000</v>
      </c>
      <c r="G91" s="16" t="n">
        <v>3937</v>
      </c>
      <c r="H91" s="16" t="n">
        <v>16260</v>
      </c>
      <c r="I91" s="16" t="n">
        <v>5000</v>
      </c>
      <c r="J91" s="16" t="n">
        <v>3000</v>
      </c>
      <c r="K91" s="45" t="n">
        <v>303336</v>
      </c>
      <c r="L91" s="47" t="n">
        <v>122956</v>
      </c>
    </row>
    <row r="92" customFormat="false" ht="15" hidden="false" customHeight="true" outlineLevel="0" collapsed="false">
      <c r="A92" s="1" t="s">
        <v>194</v>
      </c>
      <c r="B92" s="16" t="n">
        <v>325733</v>
      </c>
      <c r="C92" s="16" t="n">
        <v>19638</v>
      </c>
      <c r="D92" s="44" t="n">
        <v>345372</v>
      </c>
      <c r="E92" s="16" t="n">
        <v>164830</v>
      </c>
      <c r="F92" s="16" t="n">
        <v>75000</v>
      </c>
      <c r="G92" s="16" t="n">
        <v>3257</v>
      </c>
      <c r="H92" s="16" t="n">
        <v>9819</v>
      </c>
      <c r="I92" s="16" t="n">
        <v>5000</v>
      </c>
      <c r="J92" s="16" t="n">
        <v>3000</v>
      </c>
      <c r="K92" s="45" t="n">
        <v>260907</v>
      </c>
      <c r="L92" s="47" t="n">
        <v>84464</v>
      </c>
    </row>
    <row r="93" customFormat="false" ht="15" hidden="false" customHeight="true" outlineLevel="0" collapsed="false">
      <c r="A93" s="1" t="s">
        <v>196</v>
      </c>
      <c r="B93" s="16" t="n">
        <v>370856</v>
      </c>
      <c r="C93" s="16" t="n">
        <v>26488</v>
      </c>
      <c r="D93" s="44" t="n">
        <v>397345</v>
      </c>
      <c r="E93" s="16" t="n">
        <v>188077</v>
      </c>
      <c r="F93" s="16" t="n">
        <v>75000</v>
      </c>
      <c r="G93" s="16" t="n">
        <v>3708</v>
      </c>
      <c r="H93" s="16" t="n">
        <v>13244</v>
      </c>
      <c r="I93" s="16" t="n">
        <v>5000</v>
      </c>
      <c r="J93" s="16" t="n">
        <v>3000</v>
      </c>
      <c r="K93" s="45" t="n">
        <v>288030</v>
      </c>
      <c r="L93" s="47" t="n">
        <v>109315</v>
      </c>
    </row>
    <row r="94" customFormat="false" ht="15" hidden="false" customHeight="true" outlineLevel="0" collapsed="false">
      <c r="A94" s="1" t="s">
        <v>198</v>
      </c>
      <c r="B94" s="16" t="n">
        <v>376144</v>
      </c>
      <c r="C94" s="16" t="n">
        <v>31798</v>
      </c>
      <c r="D94" s="44" t="n">
        <v>407943</v>
      </c>
      <c r="E94" s="16" t="n">
        <v>191252</v>
      </c>
      <c r="F94" s="16" t="n">
        <v>75000</v>
      </c>
      <c r="G94" s="16" t="n">
        <v>3761</v>
      </c>
      <c r="H94" s="16" t="n">
        <v>15899</v>
      </c>
      <c r="I94" s="16" t="n">
        <v>5000</v>
      </c>
      <c r="J94" s="16" t="n">
        <v>3000</v>
      </c>
      <c r="K94" s="45" t="n">
        <v>293912</v>
      </c>
      <c r="L94" s="47" t="n">
        <v>114030</v>
      </c>
    </row>
    <row r="95" customFormat="false" ht="15" hidden="false" customHeight="true" outlineLevel="0" collapsed="false">
      <c r="A95" s="1" t="s">
        <v>200</v>
      </c>
      <c r="B95" s="16" t="n">
        <v>352525</v>
      </c>
      <c r="C95" s="16" t="n">
        <v>42042</v>
      </c>
      <c r="D95" s="44" t="n">
        <v>394567</v>
      </c>
      <c r="E95" s="16" t="n">
        <v>180466</v>
      </c>
      <c r="F95" s="16" t="n">
        <v>75000</v>
      </c>
      <c r="G95" s="16" t="n">
        <v>3525</v>
      </c>
      <c r="H95" s="16" t="n">
        <v>21021</v>
      </c>
      <c r="I95" s="16" t="n">
        <v>5000</v>
      </c>
      <c r="J95" s="16" t="n">
        <v>3000</v>
      </c>
      <c r="K95" s="45" t="n">
        <v>288013</v>
      </c>
      <c r="L95" s="47" t="n">
        <v>106554</v>
      </c>
    </row>
    <row r="96" customFormat="false" ht="15" hidden="false" customHeight="true" outlineLevel="0" collapsed="false">
      <c r="A96" s="1" t="s">
        <v>202</v>
      </c>
      <c r="B96" s="16" t="n">
        <v>386367</v>
      </c>
      <c r="C96" s="16" t="n">
        <v>34061</v>
      </c>
      <c r="D96" s="44" t="n">
        <v>420428</v>
      </c>
      <c r="E96" s="16" t="n">
        <v>196590</v>
      </c>
      <c r="F96" s="16" t="n">
        <v>75000</v>
      </c>
      <c r="G96" s="16" t="n">
        <v>3863</v>
      </c>
      <c r="H96" s="16" t="n">
        <v>17030</v>
      </c>
      <c r="I96" s="16" t="n">
        <v>5000</v>
      </c>
      <c r="J96" s="16" t="n">
        <v>3000</v>
      </c>
      <c r="K96" s="45" t="n">
        <v>300484</v>
      </c>
      <c r="L96" s="47" t="n">
        <v>119944</v>
      </c>
    </row>
    <row r="97" customFormat="false" ht="15" hidden="false" customHeight="true" outlineLevel="0" collapsed="false">
      <c r="A97" s="1" t="s">
        <v>204</v>
      </c>
      <c r="B97" s="16" t="n">
        <v>389540</v>
      </c>
      <c r="C97" s="16" t="n">
        <v>39811</v>
      </c>
      <c r="D97" s="44" t="n">
        <v>429351</v>
      </c>
      <c r="E97" s="16" t="n">
        <v>198751</v>
      </c>
      <c r="F97" s="16" t="n">
        <v>75000</v>
      </c>
      <c r="G97" s="16" t="n">
        <v>3895</v>
      </c>
      <c r="H97" s="16" t="n">
        <v>19905</v>
      </c>
      <c r="I97" s="16" t="n">
        <v>5000</v>
      </c>
      <c r="J97" s="16" t="n">
        <v>3000</v>
      </c>
      <c r="K97" s="45" t="n">
        <v>305552</v>
      </c>
      <c r="L97" s="47" t="n">
        <v>123799</v>
      </c>
    </row>
    <row r="98" customFormat="false" ht="15" hidden="false" customHeight="true" outlineLevel="0" collapsed="false">
      <c r="A98" s="8" t="s">
        <v>338</v>
      </c>
      <c r="B98" s="34" t="n">
        <f aca="false">SUM(B86:B97)</f>
        <v>4230297</v>
      </c>
      <c r="C98" s="34" t="n">
        <f aca="false">SUM(C86:C97)</f>
        <v>377055</v>
      </c>
      <c r="D98" s="34" t="n">
        <f aca="false">SUM(D86:D97)</f>
        <v>4607359</v>
      </c>
      <c r="E98" s="34" t="n">
        <f aca="false">SUM(E86:E97)</f>
        <v>2152853</v>
      </c>
      <c r="F98" s="34" t="n">
        <f aca="false">SUM(F86:F97)</f>
        <v>900000</v>
      </c>
      <c r="G98" s="34" t="n">
        <f aca="false">SUM(G86:G97)</f>
        <v>42297</v>
      </c>
      <c r="H98" s="34" t="n">
        <f aca="false">SUM(H86:H97)</f>
        <v>188525</v>
      </c>
      <c r="I98" s="34" t="n">
        <f aca="false">SUM(I86:I97)</f>
        <v>60000</v>
      </c>
      <c r="J98" s="34" t="n">
        <f aca="false">SUM(J86:J97)</f>
        <v>36000</v>
      </c>
      <c r="K98" s="34" t="n">
        <f aca="false">SUM(K86:K97)</f>
        <v>3379686</v>
      </c>
      <c r="L98" s="34" t="n">
        <f aca="false">SUM(L86:L97)</f>
        <v>1227668</v>
      </c>
    </row>
    <row r="100" customFormat="false" ht="15" hidden="false" customHeight="true" outlineLevel="0" collapsed="false">
      <c r="A100" s="30" t="s">
        <v>76</v>
      </c>
      <c r="B100" s="30"/>
      <c r="C100" s="30"/>
      <c r="D100" s="30"/>
      <c r="E100" s="30"/>
      <c r="F100" s="30"/>
      <c r="G100" s="30"/>
      <c r="H100" s="30"/>
      <c r="I100" s="30"/>
      <c r="J100" s="30"/>
      <c r="K100" s="30"/>
      <c r="L100" s="30"/>
    </row>
    <row r="101" customFormat="false" ht="20.25" hidden="false" customHeight="true" outlineLevel="0" collapsed="false">
      <c r="A101" s="43" t="s">
        <v>18</v>
      </c>
      <c r="B101" s="43" t="s">
        <v>142</v>
      </c>
      <c r="C101" s="43" t="s">
        <v>328</v>
      </c>
      <c r="D101" s="43" t="s">
        <v>329</v>
      </c>
      <c r="E101" s="43" t="s">
        <v>330</v>
      </c>
      <c r="F101" s="43" t="s">
        <v>331</v>
      </c>
      <c r="G101" s="43" t="s">
        <v>332</v>
      </c>
      <c r="H101" s="43" t="s">
        <v>333</v>
      </c>
      <c r="I101" s="43" t="s">
        <v>334</v>
      </c>
      <c r="J101" s="43" t="s">
        <v>335</v>
      </c>
      <c r="K101" s="43" t="s">
        <v>336</v>
      </c>
      <c r="L101" s="43" t="s">
        <v>337</v>
      </c>
    </row>
    <row r="102" customFormat="false" ht="15" hidden="false" customHeight="true" outlineLevel="0" collapsed="false">
      <c r="A102" s="1" t="s">
        <v>182</v>
      </c>
      <c r="B102" s="16" t="n">
        <v>192799</v>
      </c>
      <c r="C102" s="16" t="n">
        <v>15913</v>
      </c>
      <c r="D102" s="44" t="n">
        <v>208712</v>
      </c>
      <c r="E102" s="16" t="n">
        <v>97991</v>
      </c>
      <c r="F102" s="16" t="n">
        <v>50000</v>
      </c>
      <c r="G102" s="16" t="n">
        <v>1927</v>
      </c>
      <c r="H102" s="16" t="n">
        <v>7956</v>
      </c>
      <c r="I102" s="16" t="n">
        <v>5000</v>
      </c>
      <c r="J102" s="16" t="n">
        <v>3000</v>
      </c>
      <c r="K102" s="45" t="n">
        <v>165875</v>
      </c>
      <c r="L102" s="46" t="n">
        <v>42837</v>
      </c>
    </row>
    <row r="103" customFormat="false" ht="15" hidden="false" customHeight="true" outlineLevel="0" collapsed="false">
      <c r="A103" s="1" t="s">
        <v>184</v>
      </c>
      <c r="B103" s="16" t="n">
        <v>192502</v>
      </c>
      <c r="C103" s="16" t="n">
        <v>17327</v>
      </c>
      <c r="D103" s="44" t="n">
        <v>209829</v>
      </c>
      <c r="E103" s="16" t="n">
        <v>97984</v>
      </c>
      <c r="F103" s="16" t="n">
        <v>50000</v>
      </c>
      <c r="G103" s="16" t="n">
        <v>1925</v>
      </c>
      <c r="H103" s="16" t="n">
        <v>8663</v>
      </c>
      <c r="I103" s="16" t="n">
        <v>5000</v>
      </c>
      <c r="J103" s="16" t="n">
        <v>3000</v>
      </c>
      <c r="K103" s="45" t="n">
        <v>166572</v>
      </c>
      <c r="L103" s="46" t="n">
        <v>43257</v>
      </c>
    </row>
    <row r="104" customFormat="false" ht="15" hidden="false" customHeight="true" outlineLevel="0" collapsed="false">
      <c r="A104" s="1" t="s">
        <v>186</v>
      </c>
      <c r="B104" s="16" t="n">
        <v>265582</v>
      </c>
      <c r="C104" s="16" t="n">
        <v>22579</v>
      </c>
      <c r="D104" s="44" t="n">
        <v>288161</v>
      </c>
      <c r="E104" s="16" t="n">
        <v>135049</v>
      </c>
      <c r="F104" s="16" t="n">
        <v>50000</v>
      </c>
      <c r="G104" s="16" t="n">
        <v>2655</v>
      </c>
      <c r="H104" s="16" t="n">
        <v>11289</v>
      </c>
      <c r="I104" s="16" t="n">
        <v>5000</v>
      </c>
      <c r="J104" s="16" t="n">
        <v>3000</v>
      </c>
      <c r="K104" s="45" t="n">
        <v>206994</v>
      </c>
      <c r="L104" s="47" t="n">
        <v>81167</v>
      </c>
    </row>
    <row r="105" customFormat="false" ht="15" hidden="false" customHeight="true" outlineLevel="0" collapsed="false">
      <c r="A105" s="1" t="s">
        <v>188</v>
      </c>
      <c r="B105" s="16" t="n">
        <v>278950</v>
      </c>
      <c r="C105" s="16" t="n">
        <v>34968</v>
      </c>
      <c r="D105" s="44" t="n">
        <v>313919</v>
      </c>
      <c r="E105" s="16" t="n">
        <v>142972</v>
      </c>
      <c r="F105" s="16" t="n">
        <v>50000</v>
      </c>
      <c r="G105" s="16" t="n">
        <v>2789</v>
      </c>
      <c r="H105" s="16" t="n">
        <v>17484</v>
      </c>
      <c r="I105" s="16" t="n">
        <v>5000</v>
      </c>
      <c r="J105" s="16" t="n">
        <v>3000</v>
      </c>
      <c r="K105" s="45" t="n">
        <v>221245</v>
      </c>
      <c r="L105" s="47" t="n">
        <v>92673</v>
      </c>
    </row>
    <row r="106" customFormat="false" ht="15" hidden="false" customHeight="true" outlineLevel="0" collapsed="false">
      <c r="A106" s="1" t="s">
        <v>190</v>
      </c>
      <c r="B106" s="16" t="n">
        <v>332720</v>
      </c>
      <c r="C106" s="16" t="n">
        <v>25653</v>
      </c>
      <c r="D106" s="44" t="n">
        <v>358374</v>
      </c>
      <c r="E106" s="16" t="n">
        <v>168925</v>
      </c>
      <c r="F106" s="16" t="n">
        <v>50000</v>
      </c>
      <c r="G106" s="16" t="n">
        <v>3327</v>
      </c>
      <c r="H106" s="16" t="n">
        <v>12826</v>
      </c>
      <c r="I106" s="16" t="n">
        <v>5000</v>
      </c>
      <c r="J106" s="16" t="n">
        <v>3000</v>
      </c>
      <c r="K106" s="45" t="n">
        <v>243079</v>
      </c>
      <c r="L106" s="47" t="n">
        <v>115294</v>
      </c>
    </row>
    <row r="107" customFormat="false" ht="15" hidden="false" customHeight="true" outlineLevel="0" collapsed="false">
      <c r="A107" s="1" t="s">
        <v>192</v>
      </c>
      <c r="B107" s="16" t="n">
        <v>319055</v>
      </c>
      <c r="C107" s="16" t="n">
        <v>12905</v>
      </c>
      <c r="D107" s="44" t="n">
        <v>331960</v>
      </c>
      <c r="E107" s="16" t="n">
        <v>160818</v>
      </c>
      <c r="F107" s="16" t="n">
        <v>50000</v>
      </c>
      <c r="G107" s="16" t="n">
        <v>3190</v>
      </c>
      <c r="H107" s="16" t="n">
        <v>6452</v>
      </c>
      <c r="I107" s="16" t="n">
        <v>5000</v>
      </c>
      <c r="J107" s="16" t="n">
        <v>3000</v>
      </c>
      <c r="K107" s="45" t="n">
        <v>228461</v>
      </c>
      <c r="L107" s="47" t="n">
        <v>103499</v>
      </c>
    </row>
    <row r="108" customFormat="false" ht="15" hidden="false" customHeight="true" outlineLevel="0" collapsed="false">
      <c r="A108" s="1" t="s">
        <v>194</v>
      </c>
      <c r="B108" s="16" t="n">
        <v>297369</v>
      </c>
      <c r="C108" s="16" t="n">
        <v>9651</v>
      </c>
      <c r="D108" s="44" t="n">
        <v>307020</v>
      </c>
      <c r="E108" s="16" t="n">
        <v>149649</v>
      </c>
      <c r="F108" s="16" t="n">
        <v>50000</v>
      </c>
      <c r="G108" s="16" t="n">
        <v>2973</v>
      </c>
      <c r="H108" s="16" t="n">
        <v>4825</v>
      </c>
      <c r="I108" s="16" t="n">
        <v>5000</v>
      </c>
      <c r="J108" s="16" t="n">
        <v>3000</v>
      </c>
      <c r="K108" s="45" t="n">
        <v>215448</v>
      </c>
      <c r="L108" s="47" t="n">
        <v>91571</v>
      </c>
    </row>
    <row r="109" customFormat="false" ht="15" hidden="false" customHeight="true" outlineLevel="0" collapsed="false">
      <c r="A109" s="1" t="s">
        <v>196</v>
      </c>
      <c r="B109" s="16" t="n">
        <v>343712</v>
      </c>
      <c r="C109" s="16" t="n">
        <v>13691</v>
      </c>
      <c r="D109" s="44" t="n">
        <v>357403</v>
      </c>
      <c r="E109" s="16" t="n">
        <v>173225</v>
      </c>
      <c r="F109" s="16" t="n">
        <v>50000</v>
      </c>
      <c r="G109" s="16" t="n">
        <v>3437</v>
      </c>
      <c r="H109" s="16" t="n">
        <v>6845</v>
      </c>
      <c r="I109" s="16" t="n">
        <v>5000</v>
      </c>
      <c r="J109" s="16" t="n">
        <v>3000</v>
      </c>
      <c r="K109" s="45" t="n">
        <v>241507</v>
      </c>
      <c r="L109" s="47" t="n">
        <v>115895</v>
      </c>
    </row>
    <row r="110" customFormat="false" ht="15" hidden="false" customHeight="true" outlineLevel="0" collapsed="false">
      <c r="A110" s="1" t="s">
        <v>198</v>
      </c>
      <c r="B110" s="16" t="n">
        <v>343415</v>
      </c>
      <c r="C110" s="16" t="n">
        <v>24172</v>
      </c>
      <c r="D110" s="44" t="n">
        <v>367587</v>
      </c>
      <c r="E110" s="16" t="n">
        <v>174124</v>
      </c>
      <c r="F110" s="16" t="n">
        <v>50000</v>
      </c>
      <c r="G110" s="16" t="n">
        <v>3434</v>
      </c>
      <c r="H110" s="16" t="n">
        <v>12086</v>
      </c>
      <c r="I110" s="16" t="n">
        <v>5000</v>
      </c>
      <c r="J110" s="16" t="n">
        <v>3000</v>
      </c>
      <c r="K110" s="45" t="n">
        <v>247645</v>
      </c>
      <c r="L110" s="47" t="n">
        <v>119942</v>
      </c>
    </row>
    <row r="111" customFormat="false" ht="15" hidden="false" customHeight="true" outlineLevel="0" collapsed="false">
      <c r="A111" s="1" t="s">
        <v>200</v>
      </c>
      <c r="B111" s="16" t="n">
        <v>335988</v>
      </c>
      <c r="C111" s="16" t="n">
        <v>35170</v>
      </c>
      <c r="D111" s="44" t="n">
        <v>371158</v>
      </c>
      <c r="E111" s="16" t="n">
        <v>171511</v>
      </c>
      <c r="F111" s="16" t="n">
        <v>50000</v>
      </c>
      <c r="G111" s="16" t="n">
        <v>3359</v>
      </c>
      <c r="H111" s="16" t="n">
        <v>17585</v>
      </c>
      <c r="I111" s="16" t="n">
        <v>5000</v>
      </c>
      <c r="J111" s="16" t="n">
        <v>3000</v>
      </c>
      <c r="K111" s="45" t="n">
        <v>250456</v>
      </c>
      <c r="L111" s="47" t="n">
        <v>120702</v>
      </c>
    </row>
    <row r="112" customFormat="false" ht="15" hidden="false" customHeight="true" outlineLevel="0" collapsed="false">
      <c r="A112" s="1" t="s">
        <v>202</v>
      </c>
      <c r="B112" s="16" t="n">
        <v>344603</v>
      </c>
      <c r="C112" s="16" t="n">
        <v>33823</v>
      </c>
      <c r="D112" s="44" t="n">
        <v>378427</v>
      </c>
      <c r="E112" s="16" t="n">
        <v>175684</v>
      </c>
      <c r="F112" s="16" t="n">
        <v>50000</v>
      </c>
      <c r="G112" s="16" t="n">
        <v>3446</v>
      </c>
      <c r="H112" s="16" t="n">
        <v>16911</v>
      </c>
      <c r="I112" s="16" t="n">
        <v>5000</v>
      </c>
      <c r="J112" s="16" t="n">
        <v>3000</v>
      </c>
      <c r="K112" s="45" t="n">
        <v>254042</v>
      </c>
      <c r="L112" s="47" t="n">
        <v>124385</v>
      </c>
    </row>
    <row r="113" customFormat="false" ht="15" hidden="false" customHeight="true" outlineLevel="0" collapsed="false">
      <c r="A113" s="1" t="s">
        <v>204</v>
      </c>
      <c r="B113" s="16" t="n">
        <v>318164</v>
      </c>
      <c r="C113" s="16" t="n">
        <v>23791</v>
      </c>
      <c r="D113" s="44" t="n">
        <v>341955</v>
      </c>
      <c r="E113" s="16" t="n">
        <v>161461</v>
      </c>
      <c r="F113" s="16" t="n">
        <v>50000</v>
      </c>
      <c r="G113" s="16" t="n">
        <v>3181</v>
      </c>
      <c r="H113" s="16" t="n">
        <v>11895</v>
      </c>
      <c r="I113" s="16" t="n">
        <v>5000</v>
      </c>
      <c r="J113" s="16" t="n">
        <v>3000</v>
      </c>
      <c r="K113" s="45" t="n">
        <v>234538</v>
      </c>
      <c r="L113" s="47" t="n">
        <v>107416</v>
      </c>
    </row>
    <row r="114" customFormat="false" ht="15" hidden="false" customHeight="true" outlineLevel="0" collapsed="false">
      <c r="A114" s="8" t="s">
        <v>338</v>
      </c>
      <c r="B114" s="34" t="n">
        <f aca="false">SUM(B102:B113)</f>
        <v>3564859</v>
      </c>
      <c r="C114" s="34" t="n">
        <f aca="false">SUM(C102:C113)</f>
        <v>269643</v>
      </c>
      <c r="D114" s="34" t="n">
        <f aca="false">SUM(D102:D113)</f>
        <v>3834505</v>
      </c>
      <c r="E114" s="34" t="n">
        <f aca="false">SUM(E102:E113)</f>
        <v>1809393</v>
      </c>
      <c r="F114" s="34" t="n">
        <f aca="false">SUM(F102:F113)</f>
        <v>600000</v>
      </c>
      <c r="G114" s="34" t="n">
        <f aca="false">SUM(G102:G113)</f>
        <v>35643</v>
      </c>
      <c r="H114" s="34" t="n">
        <f aca="false">SUM(H102:H113)</f>
        <v>134817</v>
      </c>
      <c r="I114" s="34" t="n">
        <f aca="false">SUM(I102:I113)</f>
        <v>60000</v>
      </c>
      <c r="J114" s="34" t="n">
        <f aca="false">SUM(J102:J113)</f>
        <v>36000</v>
      </c>
      <c r="K114" s="34" t="n">
        <f aca="false">SUM(K102:K113)</f>
        <v>2675862</v>
      </c>
      <c r="L114" s="34" t="n">
        <f aca="false">SUM(L102:L113)</f>
        <v>1158638</v>
      </c>
    </row>
    <row r="116" customFormat="false" ht="15" hidden="false" customHeight="true" outlineLevel="0" collapsed="false">
      <c r="A116" s="30" t="s">
        <v>103</v>
      </c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</row>
    <row r="117" customFormat="false" ht="20.25" hidden="false" customHeight="true" outlineLevel="0" collapsed="false">
      <c r="A117" s="43" t="s">
        <v>18</v>
      </c>
      <c r="B117" s="43" t="s">
        <v>142</v>
      </c>
      <c r="C117" s="43" t="s">
        <v>328</v>
      </c>
      <c r="D117" s="43" t="s">
        <v>329</v>
      </c>
      <c r="E117" s="43" t="s">
        <v>330</v>
      </c>
      <c r="F117" s="43" t="s">
        <v>331</v>
      </c>
      <c r="G117" s="43" t="s">
        <v>332</v>
      </c>
      <c r="H117" s="43" t="s">
        <v>333</v>
      </c>
      <c r="I117" s="43" t="s">
        <v>334</v>
      </c>
      <c r="J117" s="43" t="s">
        <v>335</v>
      </c>
      <c r="K117" s="43" t="s">
        <v>336</v>
      </c>
      <c r="L117" s="43" t="s">
        <v>337</v>
      </c>
    </row>
    <row r="118" customFormat="false" ht="15" hidden="false" customHeight="true" outlineLevel="0" collapsed="false">
      <c r="A118" s="1" t="s">
        <v>182</v>
      </c>
      <c r="B118" s="16" t="n">
        <v>86295</v>
      </c>
      <c r="C118" s="16" t="n">
        <v>7080</v>
      </c>
      <c r="D118" s="44" t="n">
        <v>93376</v>
      </c>
      <c r="E118" s="16" t="n">
        <v>43856</v>
      </c>
      <c r="F118" s="16" t="n">
        <v>30000</v>
      </c>
      <c r="G118" s="16" t="n">
        <v>862</v>
      </c>
      <c r="H118" s="16" t="n">
        <v>3540</v>
      </c>
      <c r="I118" s="16" t="n">
        <v>5000</v>
      </c>
      <c r="J118" s="16" t="n">
        <v>3000</v>
      </c>
      <c r="K118" s="45" t="n">
        <v>86259</v>
      </c>
      <c r="L118" s="46" t="n">
        <v>7117</v>
      </c>
    </row>
    <row r="119" customFormat="false" ht="15" hidden="false" customHeight="true" outlineLevel="0" collapsed="false">
      <c r="A119" s="1" t="s">
        <v>184</v>
      </c>
      <c r="B119" s="16" t="n">
        <v>84452</v>
      </c>
      <c r="C119" s="16" t="n">
        <v>5607</v>
      </c>
      <c r="D119" s="44" t="n">
        <v>90060</v>
      </c>
      <c r="E119" s="16" t="n">
        <v>42787</v>
      </c>
      <c r="F119" s="16" t="n">
        <v>30000</v>
      </c>
      <c r="G119" s="16" t="n">
        <v>844</v>
      </c>
      <c r="H119" s="16" t="n">
        <v>2803</v>
      </c>
      <c r="I119" s="16" t="n">
        <v>5000</v>
      </c>
      <c r="J119" s="16" t="n">
        <v>3000</v>
      </c>
      <c r="K119" s="45" t="n">
        <v>84435</v>
      </c>
      <c r="L119" s="46" t="n">
        <v>5624</v>
      </c>
    </row>
    <row r="120" customFormat="false" ht="15" hidden="false" customHeight="true" outlineLevel="0" collapsed="false">
      <c r="A120" s="1" t="s">
        <v>186</v>
      </c>
      <c r="B120" s="16" t="n">
        <v>121206</v>
      </c>
      <c r="C120" s="16" t="n">
        <v>8804</v>
      </c>
      <c r="D120" s="44" t="n">
        <v>130010</v>
      </c>
      <c r="E120" s="16" t="n">
        <v>61483</v>
      </c>
      <c r="F120" s="16" t="n">
        <v>30000</v>
      </c>
      <c r="G120" s="16" t="n">
        <v>1212</v>
      </c>
      <c r="H120" s="16" t="n">
        <v>4402</v>
      </c>
      <c r="I120" s="16" t="n">
        <v>5000</v>
      </c>
      <c r="J120" s="16" t="n">
        <v>3000</v>
      </c>
      <c r="K120" s="45" t="n">
        <v>105097</v>
      </c>
      <c r="L120" s="46" t="n">
        <v>24912</v>
      </c>
    </row>
    <row r="121" customFormat="false" ht="15" hidden="false" customHeight="true" outlineLevel="0" collapsed="false">
      <c r="A121" s="1" t="s">
        <v>188</v>
      </c>
      <c r="B121" s="16" t="n">
        <v>123625</v>
      </c>
      <c r="C121" s="16" t="n">
        <v>11365</v>
      </c>
      <c r="D121" s="44" t="n">
        <v>134991</v>
      </c>
      <c r="E121" s="16" t="n">
        <v>62949</v>
      </c>
      <c r="F121" s="16" t="n">
        <v>30000</v>
      </c>
      <c r="G121" s="16" t="n">
        <v>1236</v>
      </c>
      <c r="H121" s="16" t="n">
        <v>5682</v>
      </c>
      <c r="I121" s="16" t="n">
        <v>5000</v>
      </c>
      <c r="J121" s="16" t="n">
        <v>3000</v>
      </c>
      <c r="K121" s="45" t="n">
        <v>107868</v>
      </c>
      <c r="L121" s="46" t="n">
        <v>27122</v>
      </c>
    </row>
    <row r="122" customFormat="false" ht="15" hidden="false" customHeight="true" outlineLevel="0" collapsed="false">
      <c r="A122" s="1" t="s">
        <v>190</v>
      </c>
      <c r="B122" s="16" t="n">
        <v>131345</v>
      </c>
      <c r="C122" s="16" t="n">
        <v>9591</v>
      </c>
      <c r="D122" s="44" t="n">
        <v>140936</v>
      </c>
      <c r="E122" s="16" t="n">
        <v>66631</v>
      </c>
      <c r="F122" s="16" t="n">
        <v>30000</v>
      </c>
      <c r="G122" s="16" t="n">
        <v>1313</v>
      </c>
      <c r="H122" s="16" t="n">
        <v>4795</v>
      </c>
      <c r="I122" s="16" t="n">
        <v>5000</v>
      </c>
      <c r="J122" s="16" t="n">
        <v>3000</v>
      </c>
      <c r="K122" s="45" t="n">
        <v>110740</v>
      </c>
      <c r="L122" s="46" t="n">
        <v>30195</v>
      </c>
    </row>
    <row r="123" customFormat="false" ht="15" hidden="false" customHeight="true" outlineLevel="0" collapsed="false">
      <c r="A123" s="1" t="s">
        <v>192</v>
      </c>
      <c r="B123" s="16" t="n">
        <v>132842</v>
      </c>
      <c r="C123" s="16" t="n">
        <v>6494</v>
      </c>
      <c r="D123" s="44" t="n">
        <v>139337</v>
      </c>
      <c r="E123" s="16" t="n">
        <v>67070</v>
      </c>
      <c r="F123" s="16" t="n">
        <v>30000</v>
      </c>
      <c r="G123" s="16" t="n">
        <v>1328</v>
      </c>
      <c r="H123" s="16" t="n">
        <v>3247</v>
      </c>
      <c r="I123" s="16" t="n">
        <v>5000</v>
      </c>
      <c r="J123" s="16" t="n">
        <v>3000</v>
      </c>
      <c r="K123" s="45" t="n">
        <v>109646</v>
      </c>
      <c r="L123" s="46" t="n">
        <v>29690</v>
      </c>
    </row>
    <row r="124" customFormat="false" ht="15" hidden="false" customHeight="true" outlineLevel="0" collapsed="false">
      <c r="A124" s="1" t="s">
        <v>194</v>
      </c>
      <c r="B124" s="16" t="n">
        <v>108417</v>
      </c>
      <c r="C124" s="16" t="n">
        <v>5230</v>
      </c>
      <c r="D124" s="44" t="n">
        <v>113648</v>
      </c>
      <c r="E124" s="16" t="n">
        <v>54731</v>
      </c>
      <c r="F124" s="16" t="n">
        <v>30000</v>
      </c>
      <c r="G124" s="16" t="n">
        <v>1084</v>
      </c>
      <c r="H124" s="16" t="n">
        <v>2615</v>
      </c>
      <c r="I124" s="16" t="n">
        <v>5000</v>
      </c>
      <c r="J124" s="16" t="n">
        <v>3000</v>
      </c>
      <c r="K124" s="45" t="n">
        <v>96431</v>
      </c>
      <c r="L124" s="46" t="n">
        <v>17216</v>
      </c>
    </row>
    <row r="125" customFormat="false" ht="15" hidden="false" customHeight="true" outlineLevel="0" collapsed="false">
      <c r="A125" s="1" t="s">
        <v>196</v>
      </c>
      <c r="B125" s="16" t="n">
        <v>117864</v>
      </c>
      <c r="C125" s="16" t="n">
        <v>6176</v>
      </c>
      <c r="D125" s="44" t="n">
        <v>124041</v>
      </c>
      <c r="E125" s="16" t="n">
        <v>59550</v>
      </c>
      <c r="F125" s="16" t="n">
        <v>30000</v>
      </c>
      <c r="G125" s="16" t="n">
        <v>1178</v>
      </c>
      <c r="H125" s="16" t="n">
        <v>3088</v>
      </c>
      <c r="I125" s="16" t="n">
        <v>5000</v>
      </c>
      <c r="J125" s="16" t="n">
        <v>3000</v>
      </c>
      <c r="K125" s="45" t="n">
        <v>101817</v>
      </c>
      <c r="L125" s="46" t="n">
        <v>22224</v>
      </c>
    </row>
    <row r="126" customFormat="false" ht="15" hidden="false" customHeight="true" outlineLevel="0" collapsed="false">
      <c r="A126" s="1" t="s">
        <v>198</v>
      </c>
      <c r="B126" s="16" t="n">
        <v>117749</v>
      </c>
      <c r="C126" s="16" t="n">
        <v>8093</v>
      </c>
      <c r="D126" s="44" t="n">
        <v>125842</v>
      </c>
      <c r="E126" s="16" t="n">
        <v>59684</v>
      </c>
      <c r="F126" s="16" t="n">
        <v>30000</v>
      </c>
      <c r="G126" s="16" t="n">
        <v>1177</v>
      </c>
      <c r="H126" s="16" t="n">
        <v>4046</v>
      </c>
      <c r="I126" s="16" t="n">
        <v>5000</v>
      </c>
      <c r="J126" s="16" t="n">
        <v>3000</v>
      </c>
      <c r="K126" s="45" t="n">
        <v>102908</v>
      </c>
      <c r="L126" s="46" t="n">
        <v>22934</v>
      </c>
    </row>
    <row r="127" customFormat="false" ht="15" hidden="false" customHeight="true" outlineLevel="0" collapsed="false">
      <c r="A127" s="1" t="s">
        <v>200</v>
      </c>
      <c r="B127" s="16" t="n">
        <v>118210</v>
      </c>
      <c r="C127" s="16" t="n">
        <v>12085</v>
      </c>
      <c r="D127" s="44" t="n">
        <v>130295</v>
      </c>
      <c r="E127" s="16" t="n">
        <v>60313</v>
      </c>
      <c r="F127" s="16" t="n">
        <v>30000</v>
      </c>
      <c r="G127" s="16" t="n">
        <v>1182</v>
      </c>
      <c r="H127" s="16" t="n">
        <v>6042</v>
      </c>
      <c r="I127" s="16" t="n">
        <v>5000</v>
      </c>
      <c r="J127" s="16" t="n">
        <v>3000</v>
      </c>
      <c r="K127" s="45" t="n">
        <v>105538</v>
      </c>
      <c r="L127" s="46" t="n">
        <v>24757</v>
      </c>
    </row>
    <row r="128" customFormat="false" ht="15" hidden="false" customHeight="true" outlineLevel="0" collapsed="false">
      <c r="A128" s="1" t="s">
        <v>202</v>
      </c>
      <c r="B128" s="16" t="n">
        <v>122243</v>
      </c>
      <c r="C128" s="16" t="n">
        <v>10587</v>
      </c>
      <c r="D128" s="44" t="n">
        <v>132830</v>
      </c>
      <c r="E128" s="16" t="n">
        <v>62180</v>
      </c>
      <c r="F128" s="16" t="n">
        <v>30000</v>
      </c>
      <c r="G128" s="16" t="n">
        <v>1222</v>
      </c>
      <c r="H128" s="16" t="n">
        <v>5293</v>
      </c>
      <c r="I128" s="16" t="n">
        <v>5000</v>
      </c>
      <c r="J128" s="16" t="n">
        <v>3000</v>
      </c>
      <c r="K128" s="45" t="n">
        <v>106696</v>
      </c>
      <c r="L128" s="46" t="n">
        <v>26134</v>
      </c>
    </row>
    <row r="129" customFormat="false" ht="15" hidden="false" customHeight="true" outlineLevel="0" collapsed="false">
      <c r="A129" s="1" t="s">
        <v>204</v>
      </c>
      <c r="B129" s="16" t="n">
        <v>122012</v>
      </c>
      <c r="C129" s="16" t="n">
        <v>9373</v>
      </c>
      <c r="D129" s="44" t="n">
        <v>131386</v>
      </c>
      <c r="E129" s="16" t="n">
        <v>61943</v>
      </c>
      <c r="F129" s="16" t="n">
        <v>30000</v>
      </c>
      <c r="G129" s="16" t="n">
        <v>1220</v>
      </c>
      <c r="H129" s="16" t="n">
        <v>4686</v>
      </c>
      <c r="I129" s="16" t="n">
        <v>5000</v>
      </c>
      <c r="J129" s="16" t="n">
        <v>3000</v>
      </c>
      <c r="K129" s="45" t="n">
        <v>105850</v>
      </c>
      <c r="L129" s="46" t="n">
        <v>25535</v>
      </c>
    </row>
    <row r="130" customFormat="false" ht="15" hidden="false" customHeight="true" outlineLevel="0" collapsed="false">
      <c r="A130" s="8" t="s">
        <v>338</v>
      </c>
      <c r="B130" s="34" t="n">
        <f aca="false">SUM(B118:B129)</f>
        <v>1386260</v>
      </c>
      <c r="C130" s="34" t="n">
        <f aca="false">SUM(C118:C129)</f>
        <v>100485</v>
      </c>
      <c r="D130" s="34" t="n">
        <f aca="false">SUM(D118:D129)</f>
        <v>1486752</v>
      </c>
      <c r="E130" s="34" t="n">
        <f aca="false">SUM(E118:E129)</f>
        <v>703177</v>
      </c>
      <c r="F130" s="34" t="n">
        <f aca="false">SUM(F118:F129)</f>
        <v>360000</v>
      </c>
      <c r="G130" s="34" t="n">
        <f aca="false">SUM(G118:G129)</f>
        <v>13858</v>
      </c>
      <c r="H130" s="34" t="n">
        <f aca="false">SUM(H118:H129)</f>
        <v>50239</v>
      </c>
      <c r="I130" s="34" t="n">
        <f aca="false">SUM(I118:I129)</f>
        <v>60000</v>
      </c>
      <c r="J130" s="34" t="n">
        <f aca="false">SUM(J118:J129)</f>
        <v>36000</v>
      </c>
      <c r="K130" s="34" t="n">
        <f aca="false">SUM(K118:K129)</f>
        <v>1223285</v>
      </c>
      <c r="L130" s="34" t="n">
        <f aca="false">SUM(L118:L129)</f>
        <v>263460</v>
      </c>
    </row>
    <row r="132" customFormat="false" ht="15" hidden="false" customHeight="true" outlineLevel="0" collapsed="false">
      <c r="A132" s="36" t="s">
        <v>107</v>
      </c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</row>
    <row r="133" customFormat="false" ht="20.25" hidden="false" customHeight="true" outlineLevel="0" collapsed="false">
      <c r="A133" s="8" t="s">
        <v>18</v>
      </c>
      <c r="B133" s="8" t="s">
        <v>142</v>
      </c>
      <c r="C133" s="8" t="s">
        <v>328</v>
      </c>
      <c r="D133" s="8" t="s">
        <v>329</v>
      </c>
      <c r="E133" s="8" t="s">
        <v>330</v>
      </c>
      <c r="F133" s="8" t="s">
        <v>331</v>
      </c>
      <c r="G133" s="8" t="s">
        <v>332</v>
      </c>
      <c r="H133" s="8" t="s">
        <v>333</v>
      </c>
      <c r="I133" s="8" t="s">
        <v>334</v>
      </c>
      <c r="J133" s="8" t="s">
        <v>335</v>
      </c>
      <c r="K133" s="8" t="s">
        <v>336</v>
      </c>
      <c r="L133" s="8" t="s">
        <v>337</v>
      </c>
    </row>
    <row r="134" customFormat="false" ht="15" hidden="false" customHeight="true" outlineLevel="0" collapsed="false">
      <c r="A134" s="1" t="s">
        <v>182</v>
      </c>
      <c r="B134" s="23" t="n">
        <v>0</v>
      </c>
      <c r="C134" s="23" t="n">
        <v>0</v>
      </c>
      <c r="D134" s="23" t="n">
        <v>0</v>
      </c>
      <c r="E134" s="23" t="n">
        <v>0</v>
      </c>
      <c r="F134" s="23" t="n">
        <v>0</v>
      </c>
      <c r="G134" s="23" t="n">
        <v>0</v>
      </c>
      <c r="H134" s="23" t="n">
        <v>0</v>
      </c>
      <c r="I134" s="23" t="n">
        <v>0</v>
      </c>
      <c r="J134" s="23" t="n">
        <v>0</v>
      </c>
      <c r="K134" s="23" t="n">
        <v>0</v>
      </c>
      <c r="L134" s="23" t="n">
        <v>0</v>
      </c>
    </row>
    <row r="135" customFormat="false" ht="15" hidden="false" customHeight="true" outlineLevel="0" collapsed="false">
      <c r="A135" s="1" t="s">
        <v>184</v>
      </c>
      <c r="B135" s="23" t="n">
        <v>0</v>
      </c>
      <c r="C135" s="23" t="n">
        <v>0</v>
      </c>
      <c r="D135" s="23" t="n">
        <v>0</v>
      </c>
      <c r="E135" s="23" t="n">
        <v>0</v>
      </c>
      <c r="F135" s="23" t="n">
        <v>0</v>
      </c>
      <c r="G135" s="23" t="n">
        <v>0</v>
      </c>
      <c r="H135" s="23" t="n">
        <v>0</v>
      </c>
      <c r="I135" s="23" t="n">
        <v>0</v>
      </c>
      <c r="J135" s="23" t="n">
        <v>0</v>
      </c>
      <c r="K135" s="23" t="n">
        <v>0</v>
      </c>
      <c r="L135" s="23" t="n">
        <v>0</v>
      </c>
    </row>
    <row r="136" customFormat="false" ht="15" hidden="false" customHeight="true" outlineLevel="0" collapsed="false">
      <c r="A136" s="1" t="s">
        <v>186</v>
      </c>
      <c r="B136" s="23" t="n">
        <v>202521</v>
      </c>
      <c r="C136" s="23" t="n">
        <v>12798</v>
      </c>
      <c r="D136" s="23" t="n">
        <v>215319</v>
      </c>
      <c r="E136" s="23" t="n">
        <v>102540</v>
      </c>
      <c r="F136" s="23" t="n">
        <v>25000</v>
      </c>
      <c r="G136" s="23" t="n">
        <v>2025</v>
      </c>
      <c r="H136" s="23" t="n">
        <v>6399</v>
      </c>
      <c r="I136" s="23" t="n">
        <v>2000</v>
      </c>
      <c r="J136" s="23" t="n">
        <v>3000</v>
      </c>
      <c r="K136" s="23" t="n">
        <v>140964</v>
      </c>
      <c r="L136" s="23" t="n">
        <v>74355</v>
      </c>
    </row>
    <row r="137" customFormat="false" ht="15" hidden="false" customHeight="true" outlineLevel="0" collapsed="false">
      <c r="A137" s="1" t="s">
        <v>188</v>
      </c>
      <c r="B137" s="23" t="n">
        <v>301251</v>
      </c>
      <c r="C137" s="23" t="n">
        <v>12798</v>
      </c>
      <c r="D137" s="23" t="n">
        <v>314049</v>
      </c>
      <c r="E137" s="23" t="n">
        <v>151905</v>
      </c>
      <c r="F137" s="23" t="n">
        <v>25000</v>
      </c>
      <c r="G137" s="23" t="n">
        <v>3013</v>
      </c>
      <c r="H137" s="23" t="n">
        <v>6399</v>
      </c>
      <c r="I137" s="23" t="n">
        <v>2000</v>
      </c>
      <c r="J137" s="23" t="n">
        <v>3000</v>
      </c>
      <c r="K137" s="23" t="n">
        <v>191317</v>
      </c>
      <c r="L137" s="23" t="n">
        <v>122732</v>
      </c>
    </row>
    <row r="138" customFormat="false" ht="15" hidden="false" customHeight="true" outlineLevel="0" collapsed="false">
      <c r="A138" s="1" t="s">
        <v>190</v>
      </c>
      <c r="B138" s="23" t="n">
        <v>353493</v>
      </c>
      <c r="C138" s="23" t="n">
        <v>12798</v>
      </c>
      <c r="D138" s="23" t="n">
        <v>366291</v>
      </c>
      <c r="E138" s="23" t="n">
        <v>178026</v>
      </c>
      <c r="F138" s="23" t="n">
        <v>25000</v>
      </c>
      <c r="G138" s="23" t="n">
        <v>3535</v>
      </c>
      <c r="H138" s="23" t="n">
        <v>6399</v>
      </c>
      <c r="I138" s="23" t="n">
        <v>2000</v>
      </c>
      <c r="J138" s="23" t="n">
        <v>3000</v>
      </c>
      <c r="K138" s="23" t="n">
        <v>217960</v>
      </c>
      <c r="L138" s="23" t="n">
        <v>148331</v>
      </c>
    </row>
    <row r="139" customFormat="false" ht="15" hidden="false" customHeight="true" outlineLevel="0" collapsed="false">
      <c r="A139" s="1" t="s">
        <v>192</v>
      </c>
      <c r="B139" s="23" t="n">
        <v>340374</v>
      </c>
      <c r="C139" s="23" t="n">
        <v>12798</v>
      </c>
      <c r="D139" s="23" t="n">
        <v>353172</v>
      </c>
      <c r="E139" s="23" t="n">
        <v>171467</v>
      </c>
      <c r="F139" s="23" t="n">
        <v>25000</v>
      </c>
      <c r="G139" s="23" t="n">
        <v>3404</v>
      </c>
      <c r="H139" s="23" t="n">
        <v>6399</v>
      </c>
      <c r="I139" s="23" t="n">
        <v>2000</v>
      </c>
      <c r="J139" s="23" t="n">
        <v>3000</v>
      </c>
      <c r="K139" s="23" t="n">
        <v>211270</v>
      </c>
      <c r="L139" s="23" t="n">
        <v>141902</v>
      </c>
    </row>
    <row r="140" customFormat="false" ht="15" hidden="false" customHeight="true" outlineLevel="0" collapsed="false">
      <c r="A140" s="1" t="s">
        <v>194</v>
      </c>
      <c r="B140" s="23" t="n">
        <v>254386</v>
      </c>
      <c r="C140" s="23" t="n">
        <v>12798</v>
      </c>
      <c r="D140" s="23" t="n">
        <v>267184</v>
      </c>
      <c r="E140" s="23" t="n">
        <v>128473</v>
      </c>
      <c r="F140" s="23" t="n">
        <v>25000</v>
      </c>
      <c r="G140" s="23" t="n">
        <v>2544</v>
      </c>
      <c r="H140" s="23" t="n">
        <v>6399</v>
      </c>
      <c r="I140" s="23" t="n">
        <v>2000</v>
      </c>
      <c r="J140" s="23" t="n">
        <v>3000</v>
      </c>
      <c r="K140" s="23" t="n">
        <v>167416</v>
      </c>
      <c r="L140" s="23" t="n">
        <v>99768</v>
      </c>
    </row>
    <row r="141" customFormat="false" ht="15" hidden="false" customHeight="true" outlineLevel="0" collapsed="false">
      <c r="A141" s="1" t="s">
        <v>196</v>
      </c>
      <c r="B141" s="23" t="n">
        <v>203930</v>
      </c>
      <c r="C141" s="23" t="n">
        <v>12798</v>
      </c>
      <c r="D141" s="23" t="n">
        <v>216728</v>
      </c>
      <c r="E141" s="23" t="n">
        <v>103245</v>
      </c>
      <c r="F141" s="23" t="n">
        <v>25000</v>
      </c>
      <c r="G141" s="23" t="n">
        <v>2039</v>
      </c>
      <c r="H141" s="23" t="n">
        <v>6399</v>
      </c>
      <c r="I141" s="23" t="n">
        <v>2000</v>
      </c>
      <c r="J141" s="23" t="n">
        <v>3000</v>
      </c>
      <c r="K141" s="23" t="n">
        <v>141683</v>
      </c>
      <c r="L141" s="23" t="n">
        <v>75045</v>
      </c>
    </row>
    <row r="142" customFormat="false" ht="15" hidden="false" customHeight="true" outlineLevel="0" collapsed="false">
      <c r="A142" s="1" t="s">
        <v>198</v>
      </c>
      <c r="B142" s="23" t="n">
        <v>270312</v>
      </c>
      <c r="C142" s="23" t="n">
        <v>12798</v>
      </c>
      <c r="D142" s="23" t="n">
        <v>283110</v>
      </c>
      <c r="E142" s="23" t="n">
        <v>136436</v>
      </c>
      <c r="F142" s="23" t="n">
        <v>25000</v>
      </c>
      <c r="G142" s="23" t="n">
        <v>2703</v>
      </c>
      <c r="H142" s="23" t="n">
        <v>6399</v>
      </c>
      <c r="I142" s="23" t="n">
        <v>2000</v>
      </c>
      <c r="J142" s="23" t="n">
        <v>3000</v>
      </c>
      <c r="K142" s="23" t="n">
        <v>175538</v>
      </c>
      <c r="L142" s="23" t="n">
        <v>107572</v>
      </c>
    </row>
    <row r="143" customFormat="false" ht="15" hidden="false" customHeight="true" outlineLevel="0" collapsed="false">
      <c r="A143" s="1" t="s">
        <v>200</v>
      </c>
      <c r="B143" s="23" t="n">
        <v>256312</v>
      </c>
      <c r="C143" s="23" t="n">
        <v>12798</v>
      </c>
      <c r="D143" s="23" t="n">
        <v>269110</v>
      </c>
      <c r="E143" s="23" t="n">
        <v>129436</v>
      </c>
      <c r="F143" s="23" t="n">
        <v>25000</v>
      </c>
      <c r="G143" s="23" t="n">
        <v>2563</v>
      </c>
      <c r="H143" s="23" t="n">
        <v>6399</v>
      </c>
      <c r="I143" s="23" t="n">
        <v>2000</v>
      </c>
      <c r="J143" s="23" t="n">
        <v>3000</v>
      </c>
      <c r="K143" s="23" t="n">
        <v>168398</v>
      </c>
      <c r="L143" s="23" t="n">
        <v>100712</v>
      </c>
    </row>
    <row r="144" customFormat="false" ht="15" hidden="false" customHeight="true" outlineLevel="0" collapsed="false">
      <c r="A144" s="1" t="s">
        <v>202</v>
      </c>
      <c r="B144" s="23" t="n">
        <v>315616</v>
      </c>
      <c r="C144" s="23" t="n">
        <v>12798</v>
      </c>
      <c r="D144" s="23" t="n">
        <v>328414</v>
      </c>
      <c r="E144" s="23" t="n">
        <v>159088</v>
      </c>
      <c r="F144" s="23" t="n">
        <v>25000</v>
      </c>
      <c r="G144" s="23" t="n">
        <v>3156</v>
      </c>
      <c r="H144" s="23" t="n">
        <v>6399</v>
      </c>
      <c r="I144" s="23" t="n">
        <v>2000</v>
      </c>
      <c r="J144" s="23" t="n">
        <v>3000</v>
      </c>
      <c r="K144" s="23" t="n">
        <v>198643</v>
      </c>
      <c r="L144" s="23" t="n">
        <v>129771</v>
      </c>
    </row>
    <row r="145" customFormat="false" ht="15" hidden="false" customHeight="true" outlineLevel="0" collapsed="false">
      <c r="A145" s="1" t="s">
        <v>204</v>
      </c>
      <c r="B145" s="23" t="n">
        <v>286516</v>
      </c>
      <c r="C145" s="23" t="n">
        <v>12798</v>
      </c>
      <c r="D145" s="23" t="n">
        <v>299314</v>
      </c>
      <c r="E145" s="23" t="n">
        <v>144538</v>
      </c>
      <c r="F145" s="23" t="n">
        <v>25000</v>
      </c>
      <c r="G145" s="23" t="n">
        <v>2865</v>
      </c>
      <c r="H145" s="23" t="n">
        <v>6399</v>
      </c>
      <c r="I145" s="23" t="n">
        <v>2000</v>
      </c>
      <c r="J145" s="23" t="n">
        <v>3000</v>
      </c>
      <c r="K145" s="23" t="n">
        <v>183802</v>
      </c>
      <c r="L145" s="23" t="n">
        <v>115512</v>
      </c>
    </row>
    <row r="146" customFormat="false" ht="15" hidden="false" customHeight="true" outlineLevel="0" collapsed="false">
      <c r="A146" s="8" t="s">
        <v>338</v>
      </c>
      <c r="B146" s="48" t="n">
        <v>2784711</v>
      </c>
      <c r="C146" s="48" t="n">
        <v>127980</v>
      </c>
      <c r="D146" s="48" t="n">
        <v>2912691</v>
      </c>
      <c r="E146" s="48" t="n">
        <v>1405154</v>
      </c>
      <c r="F146" s="48" t="n">
        <v>250000</v>
      </c>
      <c r="G146" s="48" t="n">
        <v>27847</v>
      </c>
      <c r="H146" s="48" t="n">
        <v>63990</v>
      </c>
      <c r="I146" s="48" t="n">
        <v>20000</v>
      </c>
      <c r="J146" s="48" t="n">
        <v>30000</v>
      </c>
      <c r="K146" s="48" t="n">
        <v>1796991</v>
      </c>
      <c r="L146" s="48" t="n">
        <v>1115700</v>
      </c>
      <c r="M146" s="48" t="n">
        <v>0</v>
      </c>
    </row>
    <row r="149" customFormat="false" ht="15" hidden="false" customHeight="true" outlineLevel="0" collapsed="false">
      <c r="A149" s="15" t="s">
        <v>82</v>
      </c>
    </row>
    <row r="150" customFormat="false" ht="20.25" hidden="false" customHeight="true" outlineLevel="0" collapsed="false">
      <c r="A150" s="43" t="s">
        <v>18</v>
      </c>
      <c r="B150" s="43" t="s">
        <v>142</v>
      </c>
      <c r="C150" s="43" t="s">
        <v>328</v>
      </c>
      <c r="D150" s="43" t="s">
        <v>329</v>
      </c>
      <c r="E150" s="43" t="s">
        <v>330</v>
      </c>
      <c r="F150" s="43" t="s">
        <v>331</v>
      </c>
      <c r="G150" s="43" t="s">
        <v>332</v>
      </c>
      <c r="H150" s="43" t="s">
        <v>333</v>
      </c>
      <c r="I150" s="43" t="s">
        <v>334</v>
      </c>
      <c r="J150" s="43" t="s">
        <v>335</v>
      </c>
      <c r="K150" s="43" t="s">
        <v>336</v>
      </c>
      <c r="L150" s="43" t="s">
        <v>337</v>
      </c>
    </row>
    <row r="151" customFormat="false" ht="15" hidden="false" customHeight="true" outlineLevel="0" collapsed="false">
      <c r="A151" s="1" t="s">
        <v>182</v>
      </c>
      <c r="B151" s="16" t="n">
        <v>244078</v>
      </c>
      <c r="C151" s="16" t="n">
        <v>35937</v>
      </c>
      <c r="D151" s="44" t="n">
        <v>280015</v>
      </c>
      <c r="E151" s="16" t="n">
        <v>125632</v>
      </c>
      <c r="F151" s="16" t="n">
        <v>50000</v>
      </c>
      <c r="G151" s="16" t="n">
        <v>2440</v>
      </c>
      <c r="H151" s="16" t="n">
        <v>17968</v>
      </c>
      <c r="I151" s="16" t="n">
        <v>5000</v>
      </c>
      <c r="J151" s="16" t="n">
        <v>3000</v>
      </c>
      <c r="K151" s="45" t="n">
        <v>204042</v>
      </c>
      <c r="L151" s="47" t="n">
        <v>75973</v>
      </c>
    </row>
    <row r="152" customFormat="false" ht="15" hidden="false" customHeight="true" outlineLevel="0" collapsed="false">
      <c r="A152" s="1" t="s">
        <v>184</v>
      </c>
      <c r="B152" s="16" t="n">
        <v>267037</v>
      </c>
      <c r="C152" s="16" t="n">
        <v>24363</v>
      </c>
      <c r="D152" s="44" t="n">
        <v>291400</v>
      </c>
      <c r="E152" s="16" t="n">
        <v>135955</v>
      </c>
      <c r="F152" s="16" t="n">
        <v>50000</v>
      </c>
      <c r="G152" s="16" t="n">
        <v>2670</v>
      </c>
      <c r="H152" s="16" t="n">
        <v>12181</v>
      </c>
      <c r="I152" s="16" t="n">
        <v>5000</v>
      </c>
      <c r="J152" s="16" t="n">
        <v>3000</v>
      </c>
      <c r="K152" s="45" t="n">
        <v>208807</v>
      </c>
      <c r="L152" s="47" t="n">
        <v>82593</v>
      </c>
    </row>
    <row r="153" customFormat="false" ht="15" hidden="false" customHeight="true" outlineLevel="0" collapsed="false">
      <c r="A153" s="1" t="s">
        <v>186</v>
      </c>
      <c r="B153" s="16" t="n">
        <v>392432</v>
      </c>
      <c r="C153" s="16" t="n">
        <v>45690</v>
      </c>
      <c r="D153" s="44" t="n">
        <v>438122</v>
      </c>
      <c r="E153" s="16" t="n">
        <v>200785</v>
      </c>
      <c r="F153" s="16" t="n">
        <v>50000</v>
      </c>
      <c r="G153" s="16" t="n">
        <v>3924</v>
      </c>
      <c r="H153" s="16" t="n">
        <v>22845</v>
      </c>
      <c r="I153" s="16" t="n">
        <v>5000</v>
      </c>
      <c r="J153" s="16" t="n">
        <v>3000</v>
      </c>
      <c r="K153" s="45" t="n">
        <v>285554</v>
      </c>
      <c r="L153" s="47" t="n">
        <v>152567</v>
      </c>
    </row>
    <row r="154" customFormat="false" ht="15" hidden="false" customHeight="true" outlineLevel="0" collapsed="false">
      <c r="A154" s="1" t="s">
        <v>188</v>
      </c>
      <c r="B154" s="16" t="n">
        <v>383248</v>
      </c>
      <c r="C154" s="16" t="n">
        <v>54001</v>
      </c>
      <c r="D154" s="44" t="n">
        <v>437249</v>
      </c>
      <c r="E154" s="16" t="n">
        <v>197024</v>
      </c>
      <c r="F154" s="16" t="n">
        <v>50000</v>
      </c>
      <c r="G154" s="16" t="n">
        <v>3832</v>
      </c>
      <c r="H154" s="16" t="n">
        <v>27000</v>
      </c>
      <c r="I154" s="16" t="n">
        <v>5000</v>
      </c>
      <c r="J154" s="16" t="n">
        <v>3000</v>
      </c>
      <c r="K154" s="45" t="n">
        <v>285857</v>
      </c>
      <c r="L154" s="47" t="n">
        <v>151392</v>
      </c>
    </row>
    <row r="155" customFormat="false" ht="15" hidden="false" customHeight="true" outlineLevel="0" collapsed="false">
      <c r="A155" s="1" t="s">
        <v>190</v>
      </c>
      <c r="B155" s="16" t="n">
        <v>415391</v>
      </c>
      <c r="C155" s="16" t="n">
        <v>39656</v>
      </c>
      <c r="D155" s="44" t="n">
        <v>455048</v>
      </c>
      <c r="E155" s="16" t="n">
        <v>211661</v>
      </c>
      <c r="F155" s="16" t="n">
        <v>50000</v>
      </c>
      <c r="G155" s="16" t="n">
        <v>4153</v>
      </c>
      <c r="H155" s="16" t="n">
        <v>19828</v>
      </c>
      <c r="I155" s="16" t="n">
        <v>5000</v>
      </c>
      <c r="J155" s="16" t="n">
        <v>3000</v>
      </c>
      <c r="K155" s="45" t="n">
        <v>293643</v>
      </c>
      <c r="L155" s="47" t="n">
        <v>161404</v>
      </c>
    </row>
    <row r="156" customFormat="false" ht="15" hidden="false" customHeight="true" outlineLevel="0" collapsed="false">
      <c r="A156" s="1" t="s">
        <v>192</v>
      </c>
      <c r="B156" s="16" t="n">
        <v>424575</v>
      </c>
      <c r="C156" s="16" t="n">
        <v>27095</v>
      </c>
      <c r="D156" s="44" t="n">
        <v>451671</v>
      </c>
      <c r="E156" s="16" t="n">
        <v>214997</v>
      </c>
      <c r="F156" s="16" t="n">
        <v>50000</v>
      </c>
      <c r="G156" s="16" t="n">
        <v>4245</v>
      </c>
      <c r="H156" s="16" t="n">
        <v>13547</v>
      </c>
      <c r="I156" s="16" t="n">
        <v>5000</v>
      </c>
      <c r="J156" s="16" t="n">
        <v>3000</v>
      </c>
      <c r="K156" s="45" t="n">
        <v>290790</v>
      </c>
      <c r="L156" s="47" t="n">
        <v>160880</v>
      </c>
    </row>
    <row r="157" customFormat="false" ht="15" hidden="false" customHeight="true" outlineLevel="0" collapsed="false">
      <c r="A157" s="1" t="s">
        <v>194</v>
      </c>
      <c r="B157" s="16" t="n">
        <v>306598</v>
      </c>
      <c r="C157" s="16" t="n">
        <v>25160</v>
      </c>
      <c r="D157" s="44" t="n">
        <v>331758</v>
      </c>
      <c r="E157" s="16" t="n">
        <v>155815</v>
      </c>
      <c r="F157" s="16" t="n">
        <v>50000</v>
      </c>
      <c r="G157" s="16" t="n">
        <v>3065</v>
      </c>
      <c r="H157" s="16" t="n">
        <v>12580</v>
      </c>
      <c r="I157" s="16" t="n">
        <v>5000</v>
      </c>
      <c r="J157" s="16" t="n">
        <v>3000</v>
      </c>
      <c r="K157" s="45" t="n">
        <v>229461</v>
      </c>
      <c r="L157" s="47" t="n">
        <v>102297</v>
      </c>
    </row>
    <row r="158" customFormat="false" ht="15" hidden="false" customHeight="true" outlineLevel="0" collapsed="false">
      <c r="A158" s="1" t="s">
        <v>196</v>
      </c>
      <c r="B158" s="16" t="n">
        <v>334856</v>
      </c>
      <c r="C158" s="16" t="n">
        <v>31573</v>
      </c>
      <c r="D158" s="44" t="n">
        <v>366430</v>
      </c>
      <c r="E158" s="16" t="n">
        <v>170585</v>
      </c>
      <c r="F158" s="16" t="n">
        <v>50000</v>
      </c>
      <c r="G158" s="16" t="n">
        <v>3348</v>
      </c>
      <c r="H158" s="16" t="n">
        <v>15786</v>
      </c>
      <c r="I158" s="16" t="n">
        <v>5000</v>
      </c>
      <c r="J158" s="16" t="n">
        <v>3000</v>
      </c>
      <c r="K158" s="45" t="n">
        <v>247720</v>
      </c>
      <c r="L158" s="47" t="n">
        <v>118709</v>
      </c>
    </row>
    <row r="159" customFormat="false" ht="15" hidden="false" customHeight="true" outlineLevel="0" collapsed="false">
      <c r="A159" s="1" t="s">
        <v>198</v>
      </c>
      <c r="B159" s="16" t="n">
        <v>352517</v>
      </c>
      <c r="C159" s="16" t="n">
        <v>27778</v>
      </c>
      <c r="D159" s="44" t="n">
        <v>380296</v>
      </c>
      <c r="E159" s="16" t="n">
        <v>179036</v>
      </c>
      <c r="F159" s="16" t="n">
        <v>50000</v>
      </c>
      <c r="G159" s="16" t="n">
        <v>3525</v>
      </c>
      <c r="H159" s="16" t="n">
        <v>13889</v>
      </c>
      <c r="I159" s="16" t="n">
        <v>5000</v>
      </c>
      <c r="J159" s="16" t="n">
        <v>3000</v>
      </c>
      <c r="K159" s="45" t="n">
        <v>254451</v>
      </c>
      <c r="L159" s="47" t="n">
        <v>125845</v>
      </c>
    </row>
    <row r="160" customFormat="false" ht="15" hidden="false" customHeight="true" outlineLevel="0" collapsed="false">
      <c r="A160" s="1" t="s">
        <v>200</v>
      </c>
      <c r="B160" s="16" t="n">
        <v>362761</v>
      </c>
      <c r="C160" s="16" t="n">
        <v>55329</v>
      </c>
      <c r="D160" s="44" t="n">
        <v>418090</v>
      </c>
      <c r="E160" s="16" t="n">
        <v>186913</v>
      </c>
      <c r="F160" s="16" t="n">
        <v>50000</v>
      </c>
      <c r="G160" s="16" t="n">
        <v>3627</v>
      </c>
      <c r="H160" s="16" t="n">
        <v>27664</v>
      </c>
      <c r="I160" s="16" t="n">
        <v>5000</v>
      </c>
      <c r="J160" s="16" t="n">
        <v>3000</v>
      </c>
      <c r="K160" s="45" t="n">
        <v>276205</v>
      </c>
      <c r="L160" s="47" t="n">
        <v>141884</v>
      </c>
    </row>
    <row r="161" customFormat="false" ht="15" hidden="false" customHeight="true" outlineLevel="0" collapsed="false">
      <c r="A161" s="1" t="s">
        <v>202</v>
      </c>
      <c r="B161" s="16" t="n">
        <v>379716</v>
      </c>
      <c r="C161" s="16" t="n">
        <v>49561</v>
      </c>
      <c r="D161" s="44" t="n">
        <v>429277</v>
      </c>
      <c r="E161" s="16" t="n">
        <v>194814</v>
      </c>
      <c r="F161" s="16" t="n">
        <v>50000</v>
      </c>
      <c r="G161" s="16" t="n">
        <v>3797</v>
      </c>
      <c r="H161" s="16" t="n">
        <v>24780</v>
      </c>
      <c r="I161" s="16" t="n">
        <v>5000</v>
      </c>
      <c r="J161" s="16" t="n">
        <v>3000</v>
      </c>
      <c r="K161" s="45" t="n">
        <v>281391</v>
      </c>
      <c r="L161" s="47" t="n">
        <v>147885</v>
      </c>
    </row>
    <row r="162" customFormat="false" ht="15" hidden="false" customHeight="true" outlineLevel="0" collapsed="false">
      <c r="A162" s="1" t="s">
        <v>204</v>
      </c>
      <c r="B162" s="16" t="n">
        <v>375124</v>
      </c>
      <c r="C162" s="16" t="n">
        <v>39884</v>
      </c>
      <c r="D162" s="44" t="n">
        <v>415008</v>
      </c>
      <c r="E162" s="16" t="n">
        <v>191550</v>
      </c>
      <c r="F162" s="16" t="n">
        <v>50000</v>
      </c>
      <c r="G162" s="16" t="n">
        <v>3751</v>
      </c>
      <c r="H162" s="16" t="n">
        <v>19942</v>
      </c>
      <c r="I162" s="16" t="n">
        <v>5000</v>
      </c>
      <c r="J162" s="16" t="n">
        <v>3000</v>
      </c>
      <c r="K162" s="45" t="n">
        <v>273243</v>
      </c>
      <c r="L162" s="47" t="n">
        <v>141764</v>
      </c>
    </row>
    <row r="163" customFormat="false" ht="15" hidden="false" customHeight="true" outlineLevel="0" collapsed="false">
      <c r="A163" s="8" t="s">
        <v>338</v>
      </c>
      <c r="B163" s="34" t="n">
        <f aca="false">SUM(B134:B145)</f>
        <v>2784711</v>
      </c>
      <c r="C163" s="34" t="n">
        <f aca="false">SUM(C134:C145)</f>
        <v>127980</v>
      </c>
      <c r="D163" s="34" t="n">
        <f aca="false">SUM(D134:D145)</f>
        <v>2912691</v>
      </c>
      <c r="E163" s="34" t="n">
        <f aca="false">SUM(E134:E145)</f>
        <v>1405154</v>
      </c>
      <c r="F163" s="34" t="n">
        <f aca="false">SUM(F134:F145)</f>
        <v>250000</v>
      </c>
      <c r="G163" s="34" t="n">
        <f aca="false">SUM(G134:G145)</f>
        <v>27847</v>
      </c>
      <c r="H163" s="34" t="n">
        <f aca="false">SUM(H134:H145)</f>
        <v>63990</v>
      </c>
      <c r="I163" s="34" t="n">
        <f aca="false">SUM(I134:I145)</f>
        <v>20000</v>
      </c>
      <c r="J163" s="34" t="n">
        <f aca="false">SUM(J134:J145)</f>
        <v>30000</v>
      </c>
      <c r="K163" s="34" t="n">
        <f aca="false">SUM(K134:K145)</f>
        <v>1796991</v>
      </c>
      <c r="L163" s="34" t="n">
        <f aca="false">SUM(L134:L145)</f>
        <v>1115700</v>
      </c>
    </row>
  </sheetData>
  <mergeCells count="11">
    <mergeCell ref="A1:L1"/>
    <mergeCell ref="A2:L2"/>
    <mergeCell ref="A4:L4"/>
    <mergeCell ref="A20:L20"/>
    <mergeCell ref="A36:L36"/>
    <mergeCell ref="A52:L52"/>
    <mergeCell ref="A68:L68"/>
    <mergeCell ref="A84:L84"/>
    <mergeCell ref="A100:L100"/>
    <mergeCell ref="A116:L116"/>
    <mergeCell ref="A132:L1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3" min="1" style="1" width="12"/>
  </cols>
  <sheetData>
    <row r="1" customFormat="false" ht="15.75" hidden="false" customHeight="true" outlineLevel="0" collapsed="false">
      <c r="A1" s="42" t="s">
        <v>339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</row>
    <row r="2" customFormat="false" ht="15" hidden="false" customHeight="true" outlineLevel="0" collapsed="false">
      <c r="A2" s="29" t="s">
        <v>340</v>
      </c>
      <c r="B2" s="29"/>
      <c r="C2" s="29"/>
      <c r="D2" s="29"/>
      <c r="E2" s="29"/>
      <c r="F2" s="29"/>
      <c r="G2" s="29"/>
      <c r="H2" s="29"/>
      <c r="I2" s="29"/>
      <c r="J2" s="29"/>
      <c r="K2" s="29"/>
      <c r="L2" s="29"/>
      <c r="M2" s="29"/>
    </row>
    <row r="4" customFormat="false" ht="27.75" hidden="false" customHeight="true" outlineLevel="0" collapsed="false">
      <c r="A4" s="25" t="s">
        <v>18</v>
      </c>
      <c r="B4" s="25" t="s">
        <v>142</v>
      </c>
      <c r="C4" s="25" t="s">
        <v>328</v>
      </c>
      <c r="D4" s="25" t="s">
        <v>329</v>
      </c>
      <c r="E4" s="25" t="s">
        <v>330</v>
      </c>
      <c r="F4" s="25" t="s">
        <v>331</v>
      </c>
      <c r="G4" s="25" t="s">
        <v>332</v>
      </c>
      <c r="H4" s="25" t="s">
        <v>333</v>
      </c>
      <c r="I4" s="25" t="s">
        <v>334</v>
      </c>
      <c r="J4" s="25" t="s">
        <v>335</v>
      </c>
      <c r="K4" s="25" t="s">
        <v>336</v>
      </c>
      <c r="L4" s="25" t="s">
        <v>337</v>
      </c>
      <c r="M4" s="25" t="s">
        <v>341</v>
      </c>
    </row>
    <row r="5" customFormat="false" ht="15" hidden="false" customHeight="true" outlineLevel="0" collapsed="false">
      <c r="A5" s="1" t="s">
        <v>22</v>
      </c>
      <c r="B5" s="16" t="n">
        <v>1592613</v>
      </c>
      <c r="C5" s="16" t="n">
        <v>174357</v>
      </c>
      <c r="D5" s="44" t="n">
        <v>1766971</v>
      </c>
      <c r="E5" s="16" t="n">
        <v>813742</v>
      </c>
      <c r="F5" s="16" t="n">
        <v>396000</v>
      </c>
      <c r="G5" s="16" t="n">
        <v>15926</v>
      </c>
      <c r="H5" s="16" t="n">
        <v>87178</v>
      </c>
      <c r="I5" s="16" t="n">
        <v>45000</v>
      </c>
      <c r="J5" s="16" t="n">
        <v>27000</v>
      </c>
      <c r="K5" s="45" t="n">
        <v>1384847</v>
      </c>
      <c r="L5" s="46" t="n">
        <v>382123</v>
      </c>
      <c r="M5" s="49" t="n">
        <v>0.216258784100022</v>
      </c>
    </row>
    <row r="6" customFormat="false" ht="15" hidden="false" customHeight="true" outlineLevel="0" collapsed="false">
      <c r="A6" s="1" t="s">
        <v>24</v>
      </c>
      <c r="B6" s="16" t="n">
        <v>1608019</v>
      </c>
      <c r="C6" s="16" t="n">
        <v>126123</v>
      </c>
      <c r="D6" s="44" t="n">
        <v>1734143</v>
      </c>
      <c r="E6" s="16" t="n">
        <v>816622</v>
      </c>
      <c r="F6" s="16" t="n">
        <v>396000</v>
      </c>
      <c r="G6" s="16" t="n">
        <v>16080</v>
      </c>
      <c r="H6" s="16" t="n">
        <v>63061</v>
      </c>
      <c r="I6" s="16" t="n">
        <v>45000</v>
      </c>
      <c r="J6" s="16" t="n">
        <v>27000</v>
      </c>
      <c r="K6" s="45" t="n">
        <v>1363764</v>
      </c>
      <c r="L6" s="46" t="n">
        <v>370379</v>
      </c>
      <c r="M6" s="49" t="n">
        <v>0.21358042560504</v>
      </c>
    </row>
    <row r="7" customFormat="false" ht="15" hidden="false" customHeight="true" outlineLevel="0" collapsed="false">
      <c r="A7" s="1" t="s">
        <v>296</v>
      </c>
      <c r="B7" s="16" t="n">
        <v>2546222</v>
      </c>
      <c r="C7" s="16" t="n">
        <v>237918</v>
      </c>
      <c r="D7" s="44" t="n">
        <v>2784141</v>
      </c>
      <c r="E7" s="16" t="n">
        <v>1296902</v>
      </c>
      <c r="F7" s="16" t="n">
        <v>421000</v>
      </c>
      <c r="G7" s="16" t="n">
        <v>25462</v>
      </c>
      <c r="H7" s="16" t="n">
        <v>118959</v>
      </c>
      <c r="I7" s="16" t="n">
        <v>47000</v>
      </c>
      <c r="J7" s="16" t="n">
        <v>30000</v>
      </c>
      <c r="K7" s="45" t="n">
        <v>1939324</v>
      </c>
      <c r="L7" s="47" t="n">
        <v>844816</v>
      </c>
      <c r="M7" s="49" t="n">
        <v>0.303438654866977</v>
      </c>
    </row>
    <row r="8" customFormat="false" ht="15" hidden="false" customHeight="true" outlineLevel="0" collapsed="false">
      <c r="A8" s="1" t="s">
        <v>299</v>
      </c>
      <c r="B8" s="16" t="n">
        <v>2635973</v>
      </c>
      <c r="C8" s="16" t="n">
        <v>266255</v>
      </c>
      <c r="D8" s="44" t="n">
        <v>2902228</v>
      </c>
      <c r="E8" s="16" t="n">
        <v>1344611</v>
      </c>
      <c r="F8" s="16" t="n">
        <v>421000</v>
      </c>
      <c r="G8" s="16" t="n">
        <v>26360</v>
      </c>
      <c r="H8" s="16" t="n">
        <v>133127</v>
      </c>
      <c r="I8" s="16" t="n">
        <v>47000</v>
      </c>
      <c r="J8" s="16" t="n">
        <v>30000</v>
      </c>
      <c r="K8" s="45" t="n">
        <v>2002099</v>
      </c>
      <c r="L8" s="47" t="n">
        <v>900128</v>
      </c>
      <c r="M8" s="49" t="n">
        <v>0.310150684232941</v>
      </c>
    </row>
    <row r="9" customFormat="false" ht="15" hidden="false" customHeight="true" outlineLevel="0" collapsed="false">
      <c r="A9" s="1" t="s">
        <v>190</v>
      </c>
      <c r="B9" s="16" t="n">
        <v>2766846</v>
      </c>
      <c r="C9" s="16" t="n">
        <v>210602</v>
      </c>
      <c r="D9" s="44" t="n">
        <v>2977449</v>
      </c>
      <c r="E9" s="16" t="n">
        <v>1404483</v>
      </c>
      <c r="F9" s="16" t="n">
        <v>421000</v>
      </c>
      <c r="G9" s="16" t="n">
        <v>27668</v>
      </c>
      <c r="H9" s="16" t="n">
        <v>105301</v>
      </c>
      <c r="I9" s="16" t="n">
        <v>47000</v>
      </c>
      <c r="J9" s="16" t="n">
        <v>30000</v>
      </c>
      <c r="K9" s="45" t="n">
        <v>2035453</v>
      </c>
      <c r="L9" s="47" t="n">
        <v>941996</v>
      </c>
      <c r="M9" s="49" t="n">
        <v>0.316376871610563</v>
      </c>
    </row>
    <row r="10" customFormat="false" ht="15" hidden="false" customHeight="true" outlineLevel="0" collapsed="false">
      <c r="A10" s="1" t="s">
        <v>304</v>
      </c>
      <c r="B10" s="16" t="n">
        <v>2760057</v>
      </c>
      <c r="C10" s="16" t="n">
        <v>159813</v>
      </c>
      <c r="D10" s="44" t="n">
        <v>2919871</v>
      </c>
      <c r="E10" s="16" t="n">
        <v>1396010</v>
      </c>
      <c r="F10" s="16" t="n">
        <v>421000</v>
      </c>
      <c r="G10" s="16" t="n">
        <v>27600</v>
      </c>
      <c r="H10" s="16" t="n">
        <v>79906</v>
      </c>
      <c r="I10" s="16" t="n">
        <v>47000</v>
      </c>
      <c r="J10" s="16" t="n">
        <v>30000</v>
      </c>
      <c r="K10" s="45" t="n">
        <v>2001517</v>
      </c>
      <c r="L10" s="47" t="n">
        <v>918353</v>
      </c>
      <c r="M10" s="49" t="n">
        <v>0.314518346872173</v>
      </c>
    </row>
    <row r="11" customFormat="false" ht="15" hidden="false" customHeight="true" outlineLevel="0" collapsed="false">
      <c r="A11" s="1" t="s">
        <v>26</v>
      </c>
      <c r="B11" s="16" t="n">
        <v>2221341</v>
      </c>
      <c r="C11" s="16" t="n">
        <v>129527</v>
      </c>
      <c r="D11" s="44" t="n">
        <v>2350869</v>
      </c>
      <c r="E11" s="16" t="n">
        <v>1123623</v>
      </c>
      <c r="F11" s="16" t="n">
        <v>421000</v>
      </c>
      <c r="G11" s="16" t="n">
        <v>22213</v>
      </c>
      <c r="H11" s="16" t="n">
        <v>64763</v>
      </c>
      <c r="I11" s="16" t="n">
        <v>47000</v>
      </c>
      <c r="J11" s="16" t="n">
        <v>30000</v>
      </c>
      <c r="K11" s="45" t="n">
        <v>1708601</v>
      </c>
      <c r="L11" s="47" t="n">
        <v>642268</v>
      </c>
      <c r="M11" s="49" t="n">
        <v>0.273204504376892</v>
      </c>
    </row>
    <row r="12" customFormat="false" ht="15" hidden="false" customHeight="true" outlineLevel="0" collapsed="false">
      <c r="A12" s="1" t="s">
        <v>309</v>
      </c>
      <c r="B12" s="16" t="n">
        <v>2371140</v>
      </c>
      <c r="C12" s="16" t="n">
        <v>165787</v>
      </c>
      <c r="D12" s="44" t="n">
        <v>2536928</v>
      </c>
      <c r="E12" s="16" t="n">
        <v>1202149</v>
      </c>
      <c r="F12" s="16" t="n">
        <v>421000</v>
      </c>
      <c r="G12" s="16" t="n">
        <v>23711</v>
      </c>
      <c r="H12" s="16" t="n">
        <v>82893</v>
      </c>
      <c r="I12" s="16" t="n">
        <v>47000</v>
      </c>
      <c r="J12" s="16" t="n">
        <v>30000</v>
      </c>
      <c r="K12" s="45" t="n">
        <v>1806754</v>
      </c>
      <c r="L12" s="47" t="n">
        <v>730174</v>
      </c>
      <c r="M12" s="49" t="n">
        <v>0.287818180098134</v>
      </c>
    </row>
    <row r="13" customFormat="false" ht="15" hidden="false" customHeight="true" outlineLevel="0" collapsed="false">
      <c r="A13" s="1" t="s">
        <v>310</v>
      </c>
      <c r="B13" s="16" t="n">
        <v>2415967</v>
      </c>
      <c r="C13" s="16" t="n">
        <v>189209</v>
      </c>
      <c r="D13" s="44" t="n">
        <v>2605177</v>
      </c>
      <c r="E13" s="16" t="n">
        <v>1226905</v>
      </c>
      <c r="F13" s="16" t="n">
        <v>421000</v>
      </c>
      <c r="G13" s="16" t="n">
        <v>24159</v>
      </c>
      <c r="H13" s="16" t="n">
        <v>94604</v>
      </c>
      <c r="I13" s="16" t="n">
        <v>47000</v>
      </c>
      <c r="J13" s="16" t="n">
        <v>30000</v>
      </c>
      <c r="K13" s="45" t="n">
        <v>1843669</v>
      </c>
      <c r="L13" s="47" t="n">
        <v>761508</v>
      </c>
      <c r="M13" s="49" t="n">
        <v>0.29230566675508</v>
      </c>
    </row>
    <row r="14" customFormat="false" ht="15" hidden="false" customHeight="true" outlineLevel="0" collapsed="false">
      <c r="A14" s="1" t="s">
        <v>312</v>
      </c>
      <c r="B14" s="16" t="n">
        <v>2479617</v>
      </c>
      <c r="C14" s="16" t="n">
        <v>282181</v>
      </c>
      <c r="D14" s="44" t="n">
        <v>2761799</v>
      </c>
      <c r="E14" s="16" t="n">
        <v>1268027</v>
      </c>
      <c r="F14" s="16" t="n">
        <v>421000</v>
      </c>
      <c r="G14" s="16" t="n">
        <v>24796</v>
      </c>
      <c r="H14" s="16" t="n">
        <v>141090</v>
      </c>
      <c r="I14" s="16" t="n">
        <v>47000</v>
      </c>
      <c r="J14" s="16" t="n">
        <v>30000</v>
      </c>
      <c r="K14" s="45" t="n">
        <v>1931914</v>
      </c>
      <c r="L14" s="47" t="n">
        <v>829885</v>
      </c>
      <c r="M14" s="49" t="n">
        <v>0.300487110032265</v>
      </c>
    </row>
    <row r="15" customFormat="false" ht="15" hidden="false" customHeight="true" outlineLevel="0" collapsed="false">
      <c r="A15" s="1" t="s">
        <v>28</v>
      </c>
      <c r="B15" s="16" t="n">
        <v>2617631</v>
      </c>
      <c r="C15" s="16" t="n">
        <v>259063</v>
      </c>
      <c r="D15" s="44" t="n">
        <v>2876695</v>
      </c>
      <c r="E15" s="16" t="n">
        <v>1334722</v>
      </c>
      <c r="F15" s="16" t="n">
        <v>421000</v>
      </c>
      <c r="G15" s="16" t="n">
        <v>26176</v>
      </c>
      <c r="H15" s="16" t="n">
        <v>129531</v>
      </c>
      <c r="I15" s="16" t="n">
        <v>47000</v>
      </c>
      <c r="J15" s="16" t="n">
        <v>30000</v>
      </c>
      <c r="K15" s="45" t="n">
        <v>1988430</v>
      </c>
      <c r="L15" s="47" t="n">
        <v>888264</v>
      </c>
      <c r="M15" s="49" t="n">
        <v>0.308779345742249</v>
      </c>
    </row>
    <row r="16" customFormat="false" ht="15" hidden="false" customHeight="true" outlineLevel="0" collapsed="false">
      <c r="A16" s="1" t="s">
        <v>30</v>
      </c>
      <c r="B16" s="16" t="n">
        <v>2590857</v>
      </c>
      <c r="C16" s="16" t="n">
        <v>230775</v>
      </c>
      <c r="D16" s="44" t="n">
        <v>2821632</v>
      </c>
      <c r="E16" s="16" t="n">
        <v>1318506</v>
      </c>
      <c r="F16" s="16" t="n">
        <v>421000</v>
      </c>
      <c r="G16" s="16" t="n">
        <v>25908</v>
      </c>
      <c r="H16" s="16" t="n">
        <v>115387</v>
      </c>
      <c r="I16" s="16" t="n">
        <v>47000</v>
      </c>
      <c r="J16" s="16" t="n">
        <v>30000</v>
      </c>
      <c r="K16" s="45" t="n">
        <v>1957802</v>
      </c>
      <c r="L16" s="47" t="n">
        <v>863830</v>
      </c>
      <c r="M16" s="49" t="n">
        <v>0.306145521457086</v>
      </c>
    </row>
    <row r="17" customFormat="false" ht="15" hidden="false" customHeight="true" outlineLevel="0" collapsed="false">
      <c r="A17" s="20" t="s">
        <v>206</v>
      </c>
      <c r="B17" s="27" t="n">
        <f aca="false">SUM(B5:B16)</f>
        <v>28606283</v>
      </c>
      <c r="C17" s="27" t="n">
        <f aca="false">SUM(C5:C16)</f>
        <v>2431610</v>
      </c>
      <c r="D17" s="27" t="n">
        <f aca="false">SUM(D5:D16)</f>
        <v>31037903</v>
      </c>
      <c r="E17" s="27" t="n">
        <f aca="false">SUM(E5:E16)</f>
        <v>14546302</v>
      </c>
      <c r="F17" s="27" t="n">
        <f aca="false">SUM(F5:F16)</f>
        <v>5002000</v>
      </c>
      <c r="G17" s="27" t="n">
        <f aca="false">SUM(G5:G16)</f>
        <v>286059</v>
      </c>
      <c r="H17" s="27" t="n">
        <f aca="false">SUM(H5:H16)</f>
        <v>1215800</v>
      </c>
      <c r="I17" s="27" t="n">
        <f aca="false">SUM(I5:I16)</f>
        <v>560000</v>
      </c>
      <c r="J17" s="27" t="n">
        <f aca="false">SUM(J5:J16)</f>
        <v>354000</v>
      </c>
      <c r="K17" s="27" t="n">
        <f aca="false">SUM(K5:K16)</f>
        <v>21964174</v>
      </c>
      <c r="L17" s="27" t="n">
        <f aca="false">SUM(L5:L16)</f>
        <v>9073724</v>
      </c>
      <c r="M17" s="50" t="n">
        <f aca="false">L17/D17</f>
        <v>0.292343332602077</v>
      </c>
    </row>
    <row r="19" customFormat="false" ht="15" hidden="false" customHeight="true" outlineLevel="0" collapsed="false">
      <c r="A19" s="10" t="s">
        <v>342</v>
      </c>
    </row>
    <row r="21" customFormat="false" ht="15" hidden="false" customHeight="true" outlineLevel="0" collapsed="false">
      <c r="A21" s="1" t="s">
        <v>343</v>
      </c>
      <c r="B21" s="51" t="n">
        <f aca="false">L17/12</f>
        <v>756143.666666667</v>
      </c>
    </row>
    <row r="22" customFormat="false" ht="15" hidden="false" customHeight="true" outlineLevel="0" collapsed="false">
      <c r="A22" s="1" t="s">
        <v>344</v>
      </c>
      <c r="B22" s="52" t="n">
        <f aca="false">M17</f>
        <v>0.292343332602077</v>
      </c>
    </row>
    <row r="24" customFormat="false" ht="15" hidden="false" customHeight="true" outlineLevel="0" collapsed="false">
      <c r="A24" s="1" t="s">
        <v>345</v>
      </c>
      <c r="B24" s="6" t="s">
        <v>190</v>
      </c>
    </row>
    <row r="25" customFormat="false" ht="15" hidden="false" customHeight="true" outlineLevel="0" collapsed="false">
      <c r="A25" s="1" t="s">
        <v>346</v>
      </c>
      <c r="B25" s="3" t="s">
        <v>24</v>
      </c>
    </row>
    <row r="27" customFormat="false" ht="15" hidden="false" customHeight="true" outlineLevel="0" collapsed="false">
      <c r="A27" s="41" t="s">
        <v>347</v>
      </c>
      <c r="B27" s="41"/>
      <c r="C27" s="41"/>
      <c r="D27" s="41"/>
    </row>
  </sheetData>
  <mergeCells count="3">
    <mergeCell ref="A1:M1"/>
    <mergeCell ref="A2:M2"/>
    <mergeCell ref="A27:D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5"/>
    <col collapsed="false" customWidth="true" hidden="false" outlineLevel="0" max="6" min="2" style="1" width="16"/>
    <col collapsed="false" customWidth="true" hidden="false" outlineLevel="0" max="7" min="7" style="1" width="35"/>
  </cols>
  <sheetData>
    <row r="1" customFormat="false" ht="15.75" hidden="false" customHeight="true" outlineLevel="0" collapsed="false">
      <c r="A1" s="14" t="s">
        <v>348</v>
      </c>
      <c r="B1" s="14"/>
      <c r="C1" s="14"/>
      <c r="D1" s="14"/>
      <c r="E1" s="14"/>
      <c r="F1" s="14"/>
      <c r="G1" s="14"/>
    </row>
    <row r="3" customFormat="false" ht="15" hidden="false" customHeight="true" outlineLevel="0" collapsed="false">
      <c r="A3" s="1" t="s">
        <v>349</v>
      </c>
      <c r="B3" s="4" t="s">
        <v>350</v>
      </c>
      <c r="C3" s="4"/>
      <c r="D3" s="4"/>
      <c r="E3" s="4"/>
      <c r="F3" s="4"/>
      <c r="G3" s="4"/>
    </row>
    <row r="4" customFormat="false" ht="15" hidden="false" customHeight="true" outlineLevel="0" collapsed="false">
      <c r="A4" s="10" t="s">
        <v>351</v>
      </c>
      <c r="B4" s="4" t="s">
        <v>352</v>
      </c>
      <c r="C4" s="4"/>
      <c r="D4" s="4"/>
      <c r="E4" s="4"/>
      <c r="F4" s="4"/>
      <c r="G4" s="4"/>
    </row>
    <row r="5" customFormat="false" ht="15" hidden="false" customHeight="true" outlineLevel="0" collapsed="false">
      <c r="A5" s="1" t="s">
        <v>353</v>
      </c>
      <c r="B5" s="4" t="s">
        <v>354</v>
      </c>
      <c r="C5" s="4"/>
      <c r="D5" s="4"/>
      <c r="E5" s="4"/>
      <c r="F5" s="4"/>
      <c r="G5" s="4"/>
    </row>
    <row r="7" customFormat="false" ht="15" hidden="false" customHeight="true" outlineLevel="0" collapsed="false">
      <c r="A7" s="21" t="s">
        <v>39</v>
      </c>
      <c r="B7" s="21" t="s">
        <v>139</v>
      </c>
      <c r="C7" s="21" t="s">
        <v>355</v>
      </c>
      <c r="D7" s="21" t="s">
        <v>356</v>
      </c>
      <c r="E7" s="21" t="s">
        <v>357</v>
      </c>
      <c r="F7" s="21" t="s">
        <v>358</v>
      </c>
      <c r="G7" s="21" t="s">
        <v>42</v>
      </c>
    </row>
    <row r="8" customFormat="false" ht="15" hidden="false" customHeight="true" outlineLevel="0" collapsed="false">
      <c r="A8" s="8" t="s">
        <v>142</v>
      </c>
      <c r="B8" s="16" t="n">
        <v>24067292</v>
      </c>
      <c r="C8" s="16" t="n">
        <v>26970988</v>
      </c>
      <c r="D8" s="16" t="n">
        <v>28606283</v>
      </c>
      <c r="E8" s="16" t="n">
        <v>30177216</v>
      </c>
      <c r="F8" s="1" t="n">
        <v>3206228</v>
      </c>
      <c r="G8" s="1" t="s">
        <v>359</v>
      </c>
    </row>
    <row r="9" customFormat="false" ht="15" hidden="false" customHeight="true" outlineLevel="0" collapsed="false">
      <c r="A9" s="8" t="s">
        <v>179</v>
      </c>
      <c r="B9" s="23" t="n">
        <v>21542</v>
      </c>
      <c r="C9" s="23" t="n">
        <v>24019</v>
      </c>
      <c r="D9" s="23" t="n">
        <v>24492</v>
      </c>
      <c r="E9" s="23" t="n">
        <v>25148</v>
      </c>
      <c r="F9" s="1" t="n">
        <v>1129</v>
      </c>
      <c r="G9" s="1" t="s">
        <v>360</v>
      </c>
    </row>
    <row r="10" customFormat="false" ht="15" hidden="false" customHeight="true" outlineLevel="0" collapsed="false">
      <c r="A10" s="8" t="s">
        <v>43</v>
      </c>
      <c r="B10" s="16" t="n">
        <v>1117.22644137035</v>
      </c>
      <c r="C10" s="16" t="n">
        <v>1122.90220242308</v>
      </c>
      <c r="D10" s="16" t="n">
        <v>1167.98477053732</v>
      </c>
      <c r="E10" s="16" t="n">
        <v>1199.98473039606</v>
      </c>
      <c r="F10" s="1" t="n">
        <v>77.0825279729736</v>
      </c>
      <c r="G10" s="1" t="s">
        <v>361</v>
      </c>
    </row>
    <row r="11" customFormat="false" ht="15" hidden="false" customHeight="true" outlineLevel="0" collapsed="false">
      <c r="A11" s="8" t="s">
        <v>328</v>
      </c>
      <c r="B11" s="16" t="n">
        <v>2598151</v>
      </c>
      <c r="C11" s="16" t="n">
        <v>2333981</v>
      </c>
      <c r="D11" s="16" t="n">
        <v>2431610</v>
      </c>
      <c r="E11" s="16" t="n">
        <v>2554515</v>
      </c>
      <c r="F11" s="1" t="n">
        <v>220534</v>
      </c>
      <c r="G11" s="1" t="s">
        <v>362</v>
      </c>
    </row>
    <row r="13" customFormat="false" ht="15" hidden="false" customHeight="true" outlineLevel="0" collapsed="false">
      <c r="A13" s="8" t="s">
        <v>363</v>
      </c>
      <c r="C13" s="26" t="n">
        <v>0.120649053495508</v>
      </c>
      <c r="D13" s="53" t="n">
        <v>0.188595833714902</v>
      </c>
      <c r="E13" s="26" t="n">
        <v>0.253868362090758</v>
      </c>
      <c r="G13" s="1" t="s">
        <v>364</v>
      </c>
    </row>
    <row r="14" customFormat="false" ht="15" hidden="false" customHeight="true" outlineLevel="0" collapsed="false">
      <c r="A14" s="8" t="s">
        <v>365</v>
      </c>
      <c r="C14" s="26" t="n">
        <v>0.114984681088107</v>
      </c>
      <c r="D14" s="53" t="n">
        <v>0.136941788134806</v>
      </c>
      <c r="E14" s="26" t="n">
        <v>0.167393928140377</v>
      </c>
      <c r="G14" s="1" t="s">
        <v>366</v>
      </c>
    </row>
    <row r="15" customFormat="false" ht="15" hidden="false" customHeight="true" outlineLevel="0" collapsed="false">
      <c r="A15" s="8" t="s">
        <v>367</v>
      </c>
      <c r="C15" s="26" t="n">
        <v>0.0050802244223416</v>
      </c>
      <c r="D15" s="53" t="n">
        <v>0.0454324452836203</v>
      </c>
      <c r="E15" s="26" t="n">
        <v>0.0740747676220417</v>
      </c>
      <c r="G15" s="1" t="s">
        <v>368</v>
      </c>
    </row>
    <row r="17" customFormat="false" ht="15" hidden="false" customHeight="true" outlineLevel="0" collapsed="false">
      <c r="A17" s="3" t="s">
        <v>369</v>
      </c>
      <c r="B17" s="4" t="s">
        <v>370</v>
      </c>
      <c r="C17" s="4"/>
      <c r="D17" s="4"/>
      <c r="E17" s="4"/>
      <c r="F17" s="4"/>
      <c r="G17" s="4"/>
    </row>
  </sheetData>
  <mergeCells count="5">
    <mergeCell ref="A1:G1"/>
    <mergeCell ref="B3:G3"/>
    <mergeCell ref="B4:G4"/>
    <mergeCell ref="B5:G5"/>
    <mergeCell ref="B17:G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5"/>
    <col collapsed="false" customWidth="true" hidden="false" outlineLevel="0" max="2" min="2" style="1" width="50"/>
  </cols>
  <sheetData>
    <row r="1" customFormat="false" ht="15.75" hidden="false" customHeight="true" outlineLevel="0" collapsed="false">
      <c r="A1" s="24" t="s">
        <v>371</v>
      </c>
      <c r="B1" s="24"/>
    </row>
    <row r="4" customFormat="false" ht="15" hidden="false" customHeight="true" outlineLevel="0" collapsed="false">
      <c r="A4" s="54" t="s">
        <v>372</v>
      </c>
    </row>
    <row r="5" customFormat="false" ht="15" hidden="false" customHeight="true" outlineLevel="0" collapsed="false">
      <c r="B5" s="1" t="s">
        <v>373</v>
      </c>
    </row>
    <row r="6" customFormat="false" ht="15" hidden="false" customHeight="true" outlineLevel="0" collapsed="false">
      <c r="A6" s="1" t="s">
        <v>374</v>
      </c>
      <c r="B6" s="1" t="s">
        <v>375</v>
      </c>
    </row>
    <row r="7" customFormat="false" ht="15" hidden="false" customHeight="true" outlineLevel="0" collapsed="false">
      <c r="A7" s="1" t="s">
        <v>376</v>
      </c>
      <c r="B7" s="1" t="s">
        <v>377</v>
      </c>
    </row>
    <row r="8" customFormat="false" ht="15" hidden="false" customHeight="true" outlineLevel="0" collapsed="false">
      <c r="A8" s="1" t="s">
        <v>378</v>
      </c>
      <c r="B8" s="1" t="s">
        <v>379</v>
      </c>
    </row>
    <row r="10" customFormat="false" ht="15" hidden="false" customHeight="true" outlineLevel="0" collapsed="false">
      <c r="A10" s="1" t="s">
        <v>380</v>
      </c>
    </row>
    <row r="11" customFormat="false" ht="15" hidden="false" customHeight="true" outlineLevel="0" collapsed="false">
      <c r="B11" s="1" t="s">
        <v>381</v>
      </c>
    </row>
    <row r="13" customFormat="false" ht="15" hidden="false" customHeight="true" outlineLevel="0" collapsed="false">
      <c r="A13" s="54" t="s">
        <v>382</v>
      </c>
    </row>
    <row r="15" customFormat="false" ht="15" hidden="false" customHeight="true" outlineLevel="0" collapsed="false">
      <c r="A15" s="3" t="s">
        <v>383</v>
      </c>
    </row>
    <row r="16" customFormat="false" ht="15" hidden="false" customHeight="true" outlineLevel="0" collapsed="false">
      <c r="A16" s="1" t="s">
        <v>384</v>
      </c>
      <c r="B16" s="1" t="s">
        <v>385</v>
      </c>
    </row>
    <row r="17" customFormat="false" ht="15" hidden="false" customHeight="true" outlineLevel="0" collapsed="false">
      <c r="A17" s="1" t="s">
        <v>386</v>
      </c>
      <c r="B17" s="1" t="s">
        <v>387</v>
      </c>
    </row>
    <row r="18" customFormat="false" ht="15" hidden="false" customHeight="true" outlineLevel="0" collapsed="false">
      <c r="A18" s="1" t="s">
        <v>388</v>
      </c>
      <c r="B18" s="1" t="s">
        <v>389</v>
      </c>
    </row>
    <row r="19" customFormat="false" ht="15" hidden="false" customHeight="true" outlineLevel="0" collapsed="false">
      <c r="A19" s="1" t="s">
        <v>390</v>
      </c>
      <c r="B19" s="1" t="s">
        <v>391</v>
      </c>
    </row>
    <row r="21" customFormat="false" ht="15" hidden="false" customHeight="true" outlineLevel="0" collapsed="false">
      <c r="A21" s="3" t="s">
        <v>392</v>
      </c>
    </row>
    <row r="22" customFormat="false" ht="15" hidden="false" customHeight="true" outlineLevel="0" collapsed="false">
      <c r="A22" s="1" t="s">
        <v>393</v>
      </c>
      <c r="B22" s="1" t="s">
        <v>394</v>
      </c>
    </row>
    <row r="23" customFormat="false" ht="15" hidden="false" customHeight="true" outlineLevel="0" collapsed="false">
      <c r="A23" s="1" t="s">
        <v>388</v>
      </c>
      <c r="B23" s="1" t="s">
        <v>395</v>
      </c>
    </row>
    <row r="24" customFormat="false" ht="15" hidden="false" customHeight="true" outlineLevel="0" collapsed="false">
      <c r="A24" s="1" t="s">
        <v>396</v>
      </c>
      <c r="B24" s="1" t="s">
        <v>397</v>
      </c>
    </row>
    <row r="25" customFormat="false" ht="15" hidden="false" customHeight="true" outlineLevel="0" collapsed="false">
      <c r="A25" s="1" t="s">
        <v>390</v>
      </c>
      <c r="B25" s="1" t="s">
        <v>398</v>
      </c>
    </row>
    <row r="27" customFormat="false" ht="15" hidden="false" customHeight="true" outlineLevel="0" collapsed="false">
      <c r="A27" s="3" t="s">
        <v>399</v>
      </c>
    </row>
    <row r="28" customFormat="false" ht="15" hidden="false" customHeight="true" outlineLevel="0" collapsed="false">
      <c r="A28" s="1" t="s">
        <v>384</v>
      </c>
      <c r="B28" s="1" t="s">
        <v>400</v>
      </c>
    </row>
    <row r="29" customFormat="false" ht="15" hidden="false" customHeight="true" outlineLevel="0" collapsed="false">
      <c r="A29" s="1" t="s">
        <v>386</v>
      </c>
      <c r="B29" s="1" t="s">
        <v>401</v>
      </c>
    </row>
    <row r="30" customFormat="false" ht="15" hidden="false" customHeight="true" outlineLevel="0" collapsed="false">
      <c r="A30" s="1" t="s">
        <v>388</v>
      </c>
      <c r="B30" s="1" t="s">
        <v>402</v>
      </c>
    </row>
    <row r="31" customFormat="false" ht="15" hidden="false" customHeight="true" outlineLevel="0" collapsed="false">
      <c r="A31" s="1" t="s">
        <v>390</v>
      </c>
      <c r="B31" s="1" t="s">
        <v>403</v>
      </c>
    </row>
    <row r="33" customFormat="false" ht="15" hidden="false" customHeight="true" outlineLevel="0" collapsed="false">
      <c r="A33" s="54" t="s">
        <v>404</v>
      </c>
    </row>
    <row r="35" customFormat="false" ht="15" hidden="false" customHeight="true" outlineLevel="0" collapsed="false">
      <c r="A35" s="55" t="s">
        <v>405</v>
      </c>
    </row>
    <row r="36" customFormat="false" ht="15" hidden="false" customHeight="true" outlineLevel="0" collapsed="false">
      <c r="B36" s="1" t="s">
        <v>406</v>
      </c>
    </row>
    <row r="37" customFormat="false" ht="15" hidden="false" customHeight="true" outlineLevel="0" collapsed="false">
      <c r="B37" s="1" t="s">
        <v>407</v>
      </c>
    </row>
    <row r="38" customFormat="false" ht="15" hidden="false" customHeight="true" outlineLevel="0" collapsed="false">
      <c r="B38" s="1" t="s">
        <v>408</v>
      </c>
    </row>
    <row r="40" customFormat="false" ht="15" hidden="false" customHeight="true" outlineLevel="0" collapsed="false">
      <c r="A40" s="55" t="s">
        <v>409</v>
      </c>
    </row>
    <row r="41" customFormat="false" ht="15" hidden="false" customHeight="true" outlineLevel="0" collapsed="false">
      <c r="B41" s="1" t="s">
        <v>410</v>
      </c>
    </row>
    <row r="42" customFormat="false" ht="15" hidden="false" customHeight="true" outlineLevel="0" collapsed="false">
      <c r="B42" s="1" t="s">
        <v>411</v>
      </c>
    </row>
    <row r="43" customFormat="false" ht="15" hidden="false" customHeight="true" outlineLevel="0" collapsed="false">
      <c r="B43" s="1" t="s">
        <v>412</v>
      </c>
    </row>
    <row r="45" customFormat="false" ht="15" hidden="false" customHeight="true" outlineLevel="0" collapsed="false">
      <c r="A45" s="55" t="s">
        <v>413</v>
      </c>
    </row>
    <row r="46" customFormat="false" ht="15" hidden="false" customHeight="true" outlineLevel="0" collapsed="false">
      <c r="B46" s="1" t="s">
        <v>414</v>
      </c>
    </row>
    <row r="47" customFormat="false" ht="15" hidden="false" customHeight="true" outlineLevel="0" collapsed="false">
      <c r="B47" s="1" t="s">
        <v>415</v>
      </c>
    </row>
    <row r="49" customFormat="false" ht="15" hidden="false" customHeight="true" outlineLevel="0" collapsed="false">
      <c r="A49" s="55" t="s">
        <v>416</v>
      </c>
    </row>
    <row r="50" customFormat="false" ht="15" hidden="false" customHeight="true" outlineLevel="0" collapsed="false">
      <c r="B50" s="1" t="s">
        <v>417</v>
      </c>
    </row>
    <row r="51" customFormat="false" ht="15" hidden="false" customHeight="true" outlineLevel="0" collapsed="false">
      <c r="B51" s="1" t="s">
        <v>418</v>
      </c>
    </row>
    <row r="53" customFormat="false" ht="15" hidden="false" customHeight="true" outlineLevel="0" collapsed="false">
      <c r="A53" s="54" t="s">
        <v>419</v>
      </c>
    </row>
    <row r="55" customFormat="false" ht="15" hidden="false" customHeight="true" outlineLevel="0" collapsed="false">
      <c r="A55" s="1" t="s">
        <v>420</v>
      </c>
    </row>
    <row r="56" customFormat="false" ht="15" hidden="false" customHeight="true" outlineLevel="0" collapsed="false">
      <c r="B56" s="1" t="s">
        <v>421</v>
      </c>
    </row>
    <row r="57" customFormat="false" ht="15" hidden="false" customHeight="true" outlineLevel="0" collapsed="false">
      <c r="B57" s="1" t="s">
        <v>422</v>
      </c>
    </row>
    <row r="58" customFormat="false" ht="15" hidden="false" customHeight="true" outlineLevel="0" collapsed="false">
      <c r="B58" s="1" t="s">
        <v>423</v>
      </c>
    </row>
    <row r="60" customFormat="false" ht="15" hidden="false" customHeight="true" outlineLevel="0" collapsed="false">
      <c r="A60" s="1" t="s">
        <v>424</v>
      </c>
    </row>
    <row r="61" customFormat="false" ht="15" hidden="false" customHeight="true" outlineLevel="0" collapsed="false">
      <c r="B61" s="1" t="s">
        <v>425</v>
      </c>
    </row>
    <row r="62" customFormat="false" ht="15" hidden="false" customHeight="true" outlineLevel="0" collapsed="false">
      <c r="B62" s="1" t="s">
        <v>426</v>
      </c>
    </row>
    <row r="63" customFormat="false" ht="15" hidden="false" customHeight="true" outlineLevel="0" collapsed="false">
      <c r="B63" s="1" t="s">
        <v>427</v>
      </c>
    </row>
    <row r="65" customFormat="false" ht="15" hidden="false" customHeight="true" outlineLevel="0" collapsed="false">
      <c r="A65" s="54" t="s">
        <v>428</v>
      </c>
    </row>
    <row r="67" customFormat="false" ht="15" hidden="false" customHeight="true" outlineLevel="0" collapsed="false">
      <c r="A67" s="55" t="s">
        <v>429</v>
      </c>
    </row>
    <row r="68" customFormat="false" ht="15" hidden="false" customHeight="true" outlineLevel="0" collapsed="false">
      <c r="B68" s="1" t="s">
        <v>430</v>
      </c>
    </row>
    <row r="69" customFormat="false" ht="15" hidden="false" customHeight="true" outlineLevel="0" collapsed="false">
      <c r="B69" s="1" t="s">
        <v>431</v>
      </c>
    </row>
    <row r="71" customFormat="false" ht="15" hidden="false" customHeight="true" outlineLevel="0" collapsed="false">
      <c r="A71" s="55" t="s">
        <v>432</v>
      </c>
    </row>
    <row r="72" customFormat="false" ht="15" hidden="false" customHeight="true" outlineLevel="0" collapsed="false">
      <c r="B72" s="1" t="s">
        <v>433</v>
      </c>
    </row>
    <row r="73" customFormat="false" ht="15" hidden="false" customHeight="true" outlineLevel="0" collapsed="false">
      <c r="B73" s="1" t="s">
        <v>434</v>
      </c>
    </row>
    <row r="75" customFormat="false" ht="15" hidden="false" customHeight="true" outlineLevel="0" collapsed="false">
      <c r="A75" s="55" t="s">
        <v>435</v>
      </c>
    </row>
    <row r="76" customFormat="false" ht="15" hidden="false" customHeight="true" outlineLevel="0" collapsed="false">
      <c r="B76" s="1" t="s">
        <v>436</v>
      </c>
    </row>
    <row r="77" customFormat="false" ht="15" hidden="false" customHeight="true" outlineLevel="0" collapsed="false">
      <c r="B77" s="1" t="s">
        <v>437</v>
      </c>
    </row>
    <row r="78" customFormat="false" ht="15" hidden="false" customHeight="true" outlineLevel="0" collapsed="false">
      <c r="B78" s="1" t="s">
        <v>438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22"/>
    <col collapsed="false" customWidth="true" hidden="false" outlineLevel="0" max="3" min="3" style="1" width="18"/>
    <col collapsed="false" customWidth="true" hidden="false" outlineLevel="0" max="4" min="4" style="1" width="30"/>
    <col collapsed="false" customWidth="true" hidden="false" outlineLevel="0" max="5" min="5" style="1" width="40"/>
  </cols>
  <sheetData>
    <row r="1" customFormat="false" ht="15.75" hidden="false" customHeight="true" outlineLevel="0" collapsed="false">
      <c r="A1" s="24" t="s">
        <v>439</v>
      </c>
      <c r="B1" s="24"/>
      <c r="C1" s="24"/>
      <c r="D1" s="24"/>
      <c r="E1" s="24"/>
    </row>
    <row r="3" customFormat="false" ht="15" hidden="false" customHeight="true" outlineLevel="0" collapsed="false">
      <c r="A3" s="8" t="s">
        <v>440</v>
      </c>
    </row>
    <row r="4" customFormat="false" ht="15" hidden="false" customHeight="true" outlineLevel="0" collapsed="false">
      <c r="A4" s="15" t="s">
        <v>441</v>
      </c>
      <c r="B4" s="15" t="s">
        <v>142</v>
      </c>
      <c r="C4" s="15" t="s">
        <v>43</v>
      </c>
      <c r="D4" s="15" t="s">
        <v>179</v>
      </c>
      <c r="E4" s="15" t="s">
        <v>42</v>
      </c>
    </row>
    <row r="5" customFormat="false" ht="15" hidden="false" customHeight="true" outlineLevel="0" collapsed="false">
      <c r="A5" s="1" t="s">
        <v>442</v>
      </c>
      <c r="B5" s="1" t="s">
        <v>443</v>
      </c>
      <c r="C5" s="1" t="s">
        <v>444</v>
      </c>
      <c r="D5" s="1" t="s">
        <v>445</v>
      </c>
      <c r="E5" s="1" t="s">
        <v>446</v>
      </c>
    </row>
    <row r="6" customFormat="false" ht="15" hidden="false" customHeight="true" outlineLevel="0" collapsed="false">
      <c r="A6" s="1" t="s">
        <v>447</v>
      </c>
      <c r="B6" s="1" t="s">
        <v>448</v>
      </c>
      <c r="C6" s="1" t="s">
        <v>449</v>
      </c>
      <c r="D6" s="1" t="s">
        <v>450</v>
      </c>
      <c r="E6" s="1" t="s">
        <v>451</v>
      </c>
    </row>
    <row r="7" customFormat="false" ht="15" hidden="false" customHeight="true" outlineLevel="0" collapsed="false">
      <c r="A7" s="1" t="s">
        <v>140</v>
      </c>
      <c r="B7" s="1" t="s">
        <v>452</v>
      </c>
      <c r="C7" s="1" t="s">
        <v>453</v>
      </c>
      <c r="D7" s="1" t="s">
        <v>454</v>
      </c>
      <c r="E7" s="1" t="s">
        <v>455</v>
      </c>
    </row>
    <row r="9" customFormat="false" ht="15" hidden="false" customHeight="true" outlineLevel="0" collapsed="false">
      <c r="A9" s="6" t="s">
        <v>456</v>
      </c>
    </row>
    <row r="10" customFormat="false" ht="15" hidden="false" customHeight="true" outlineLevel="0" collapsed="false">
      <c r="A10" s="56" t="s">
        <v>457</v>
      </c>
      <c r="B10" s="56" t="s">
        <v>67</v>
      </c>
      <c r="C10" s="56" t="s">
        <v>458</v>
      </c>
      <c r="D10" s="56" t="s">
        <v>459</v>
      </c>
    </row>
    <row r="11" customFormat="false" ht="15" hidden="false" customHeight="true" outlineLevel="0" collapsed="false">
      <c r="A11" s="1" t="s">
        <v>460</v>
      </c>
      <c r="B11" s="1" t="s">
        <v>76</v>
      </c>
      <c r="C11" s="57" t="s">
        <v>461</v>
      </c>
      <c r="D11" s="1" t="s">
        <v>462</v>
      </c>
    </row>
    <row r="12" customFormat="false" ht="15" hidden="false" customHeight="true" outlineLevel="0" collapsed="false">
      <c r="A12" s="1" t="s">
        <v>463</v>
      </c>
      <c r="B12" s="1" t="s">
        <v>82</v>
      </c>
      <c r="C12" s="57" t="s">
        <v>464</v>
      </c>
      <c r="D12" s="1" t="s">
        <v>465</v>
      </c>
    </row>
    <row r="13" customFormat="false" ht="15" hidden="false" customHeight="true" outlineLevel="0" collapsed="false">
      <c r="A13" s="1" t="s">
        <v>466</v>
      </c>
      <c r="B13" s="1" t="s">
        <v>78</v>
      </c>
      <c r="C13" s="57" t="s">
        <v>467</v>
      </c>
      <c r="D13" s="1" t="s">
        <v>468</v>
      </c>
    </row>
    <row r="15" customFormat="false" ht="15" hidden="false" customHeight="true" outlineLevel="0" collapsed="false">
      <c r="A15" s="3" t="s">
        <v>469</v>
      </c>
    </row>
    <row r="16" customFormat="false" ht="15" hidden="false" customHeight="true" outlineLevel="0" collapsed="false">
      <c r="A16" s="58" t="s">
        <v>470</v>
      </c>
      <c r="B16" s="58" t="s">
        <v>67</v>
      </c>
      <c r="C16" s="58" t="s">
        <v>471</v>
      </c>
      <c r="D16" s="58" t="s">
        <v>472</v>
      </c>
      <c r="E16" s="58" t="s">
        <v>473</v>
      </c>
    </row>
    <row r="17" customFormat="false" ht="15" hidden="false" customHeight="true" outlineLevel="0" collapsed="false">
      <c r="A17" s="1" t="s">
        <v>474</v>
      </c>
      <c r="B17" s="1" t="s">
        <v>80</v>
      </c>
      <c r="C17" s="59" t="s">
        <v>475</v>
      </c>
      <c r="D17" s="1" t="s">
        <v>476</v>
      </c>
      <c r="E17" s="1" t="s">
        <v>477</v>
      </c>
    </row>
    <row r="18" customFormat="false" ht="15" hidden="false" customHeight="true" outlineLevel="0" collapsed="false">
      <c r="A18" s="1" t="s">
        <v>478</v>
      </c>
      <c r="B18" s="1" t="s">
        <v>70</v>
      </c>
      <c r="C18" s="59" t="s">
        <v>479</v>
      </c>
      <c r="D18" s="1" t="s">
        <v>480</v>
      </c>
      <c r="E18" s="1" t="s">
        <v>481</v>
      </c>
    </row>
    <row r="19" customFormat="false" ht="15" hidden="false" customHeight="true" outlineLevel="0" collapsed="false">
      <c r="A19" s="1" t="s">
        <v>478</v>
      </c>
      <c r="B19" s="1" t="s">
        <v>111</v>
      </c>
      <c r="C19" s="59" t="s">
        <v>482</v>
      </c>
      <c r="D19" s="1" t="s">
        <v>483</v>
      </c>
      <c r="E19" s="1" t="s">
        <v>484</v>
      </c>
    </row>
    <row r="21" customFormat="false" ht="15" hidden="false" customHeight="false" outlineLevel="0" collapsed="false">
      <c r="A21" s="1" t="s">
        <v>485</v>
      </c>
      <c r="B21" s="1" t="s">
        <v>107</v>
      </c>
      <c r="C21" s="1" t="s">
        <v>486</v>
      </c>
      <c r="D21" s="1" t="s">
        <v>487</v>
      </c>
      <c r="E21" s="1" t="s">
        <v>488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2025-12-31T11:07:47Z</dcterms:created>
  <dc:creator>openpyxl</dc:creator>
  <dc:description/>
  <dc:language>en-US</dc:language>
  <cp:lastModifiedBy/>
  <dcterms:modified xsi:type="dcterms:W3CDTF">2026-02-20T19:39:04Z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